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  <sheet name="Page map" sheetId="3" state="visible" r:id="rId3"/>
    <sheet name="Competitors" sheetId="4" state="visible" r:id="rId4"/>
    <sheet name="Excluded" sheetId="5" state="visible" r:id="rId5"/>
    <sheet name="Method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6"/>
    </font>
    <font>
      <name val="Arial"/>
      <i val="1"/>
      <color rgb="005D6B66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A33"/>
      </patternFill>
    </fill>
  </fills>
  <borders count="2">
    <border>
      <left/>
      <right/>
      <top/>
      <bottom/>
      <diagonal/>
    </border>
    <border>
      <bottom style="thin">
        <color rgb="00DFE6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0" borderId="0" pivotButton="0" quotePrefix="0" xfId="0"/>
    <xf numFmtId="3" fontId="2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3F2ED"/>
        </patternFill>
      </fill>
    </dxf>
    <dxf>
      <fill>
        <patternFill patternType="solid">
          <fgColor rgb="00FBF0E3"/>
        </patternFill>
      </fill>
    </dxf>
    <dxf>
      <fill>
        <patternFill patternType="solid">
          <fgColor rgb="00EEF1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Keywords" displayName="Keywords" ref="A1:L82" headerRowCount="1">
  <autoFilter ref="A1:L82"/>
  <tableColumns count="12">
    <tableColumn id="1" name="Market"/>
    <tableColumn id="2" name="Keyword"/>
    <tableColumn id="3" name="Searches / mo"/>
    <tableColumn id="4" name="Volume source"/>
    <tableColumn id="5" name="Cluster"/>
    <tableColumn id="6" name="What Google shows (page one)"/>
    <tableColumn id="7" name="Bonbird now"/>
    <tableColumn id="8" name="Who ranks / competition"/>
    <tableColumn id="9" name="Target page or asset"/>
    <tableColumn id="10" name="Lever"/>
    <tableColumn id="11" name="Priority"/>
    <tableColumn id="12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24" customWidth="1" min="5" max="5"/>
    <col width="30" customWidth="1" min="6" max="6"/>
  </cols>
  <sheetData>
    <row r="1">
      <c r="A1" s="1" t="inlineStr">
        <is>
          <t>Bonbird keyword research</t>
        </is>
      </c>
    </row>
    <row r="2">
      <c r="A2" s="2" t="inlineStr">
        <is>
          <t>UAE · Pakistan · Oman · Qatar · researched 9 Oct 2026. Counts and volumes below are live formulas over the Keywords tab.</t>
        </is>
      </c>
    </row>
    <row r="4">
      <c r="A4" s="3" t="inlineStr">
        <is>
          <t>Market</t>
        </is>
      </c>
      <c r="B4" s="3" t="inlineStr">
        <is>
          <t>Keywords targeted</t>
        </is>
      </c>
      <c r="C4" s="3" t="inlineStr">
        <is>
          <t>P1 keywords</t>
        </is>
      </c>
      <c r="D4" s="3" t="inlineStr">
        <is>
          <t>P1 searches / mo</t>
        </is>
      </c>
      <c r="E4" s="3" t="inlineStr">
        <is>
          <t>All targeted searches / mo</t>
        </is>
      </c>
      <c r="F4" s="3" t="inlineStr">
        <is>
          <t>Via Business Profile (searches / mo)</t>
        </is>
      </c>
    </row>
    <row r="5">
      <c r="A5" s="4" t="inlineStr">
        <is>
          <t>UAE</t>
        </is>
      </c>
      <c r="B5" s="5">
        <f>COUNTIFS(Keywords!$A:$A,$A5)</f>
        <v/>
      </c>
      <c r="C5" s="5">
        <f>COUNTIFS(Keywords!$A:$A,$A5,Keywords!$K:$K,"P1")</f>
        <v/>
      </c>
      <c r="D5" s="5">
        <f>SUMIFS(Keywords!$C:$C,Keywords!$A:$A,$A5,Keywords!$K:$K,"P1")</f>
        <v/>
      </c>
      <c r="E5" s="5">
        <f>SUMIFS(Keywords!$C:$C,Keywords!$A:$A,$A5)</f>
        <v/>
      </c>
      <c r="F5" s="5">
        <f>SUMIFS(Keywords!$C:$C,Keywords!$A:$A,$A5,Keywords!$J:$J,"Business Profile*")</f>
        <v/>
      </c>
    </row>
    <row r="6">
      <c r="A6" s="4" t="inlineStr">
        <is>
          <t>Pakistan</t>
        </is>
      </c>
      <c r="B6" s="5">
        <f>COUNTIFS(Keywords!$A:$A,$A6)</f>
        <v/>
      </c>
      <c r="C6" s="5">
        <f>COUNTIFS(Keywords!$A:$A,$A6,Keywords!$K:$K,"P1")</f>
        <v/>
      </c>
      <c r="D6" s="5">
        <f>SUMIFS(Keywords!$C:$C,Keywords!$A:$A,$A6,Keywords!$K:$K,"P1")</f>
        <v/>
      </c>
      <c r="E6" s="5">
        <f>SUMIFS(Keywords!$C:$C,Keywords!$A:$A,$A6)</f>
        <v/>
      </c>
      <c r="F6" s="5">
        <f>SUMIFS(Keywords!$C:$C,Keywords!$A:$A,$A6,Keywords!$J:$J,"Business Profile*")</f>
        <v/>
      </c>
    </row>
    <row r="7">
      <c r="A7" s="4" t="inlineStr">
        <is>
          <t>Oman</t>
        </is>
      </c>
      <c r="B7" s="5">
        <f>COUNTIFS(Keywords!$A:$A,$A7)</f>
        <v/>
      </c>
      <c r="C7" s="5">
        <f>COUNTIFS(Keywords!$A:$A,$A7,Keywords!$K:$K,"P1")</f>
        <v/>
      </c>
      <c r="D7" s="5">
        <f>SUMIFS(Keywords!$C:$C,Keywords!$A:$A,$A7,Keywords!$K:$K,"P1")</f>
        <v/>
      </c>
      <c r="E7" s="5">
        <f>SUMIFS(Keywords!$C:$C,Keywords!$A:$A,$A7)</f>
        <v/>
      </c>
      <c r="F7" s="5">
        <f>SUMIFS(Keywords!$C:$C,Keywords!$A:$A,$A7,Keywords!$J:$J,"Business Profile*")</f>
        <v/>
      </c>
    </row>
    <row r="8">
      <c r="A8" s="4" t="inlineStr">
        <is>
          <t>Qatar</t>
        </is>
      </c>
      <c r="B8" s="5">
        <f>COUNTIFS(Keywords!$A:$A,$A8)</f>
        <v/>
      </c>
      <c r="C8" s="5">
        <f>COUNTIFS(Keywords!$A:$A,$A8,Keywords!$K:$K,"P1")</f>
        <v/>
      </c>
      <c r="D8" s="5">
        <f>SUMIFS(Keywords!$C:$C,Keywords!$A:$A,$A8,Keywords!$K:$K,"P1")</f>
        <v/>
      </c>
      <c r="E8" s="5">
        <f>SUMIFS(Keywords!$C:$C,Keywords!$A:$A,$A8)</f>
        <v/>
      </c>
      <c r="F8" s="5">
        <f>SUMIFS(Keywords!$C:$C,Keywords!$A:$A,$A8,Keywords!$J:$J,"Business Profile*")</f>
        <v/>
      </c>
    </row>
    <row r="9">
      <c r="A9" s="4" t="inlineStr">
        <is>
          <t>Total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</row>
    <row r="11">
      <c r="A11" s="7" t="inlineStr">
        <is>
          <t>What the research says</t>
        </is>
      </c>
    </row>
    <row r="12" ht="44" customHeight="1">
      <c r="A12" s="8" t="inlineStr">
        <is>
          <t>1. Across all four markets, the Maps pack appears above the results for every search checked. Google Business Profile is the #1 lever everywhere, including the big generic terms.</t>
        </is>
      </c>
    </row>
    <row r="13" ht="44" customHeight="1">
      <c r="A13" s="8" t="inlineStr">
        <is>
          <t>2. The biggest generic terms are not winnable with a page: 'fried chicken', 'chicken burger', 'tenders', 'strips', 'wings', 'sandwich', 'wrap' show recipes; 'crispy chicken' (UAE) and 'hot chicken' (Qatar, Oman) are rival brand names.</t>
        </is>
      </c>
    </row>
    <row r="14" ht="44" customHeight="1">
      <c r="A14" s="8" t="inlineStr">
        <is>
          <t>3. UAE: Bonbird is already the top restaurant website for most generic local searches (#2–#5). The constraint is that this demand is small and its clicks go to the Maps pack and aggregators. Levers: Business Profile, list/aggregator inclusion, titles. Open goal: Nashville hot chicken (no restaurant has a real page).</t>
        </is>
      </c>
    </row>
    <row r="15" ht="44" customHeight="1">
      <c r="A15" s="8" t="inlineStr">
        <is>
          <t>4. Pakistan: the volume is 'restaurants in [area]' — Johar Town 14,800, Gulberg 12,100 (+5,400), DHA 9,900 — where Bonbird has venues. Page one is lists (TripAdvisor, foodpanda, local blogs), so the win is list inclusion + Business Profiles, plus specific venue-page terms. Kababjees leads nationally via brand + deal pages.</t>
        </is>
      </c>
    </row>
    <row r="16" ht="44" customHeight="1">
      <c r="A16" s="8" t="inlineStr">
        <is>
          <t>5. Oman and Qatar: competitors mostly have no websites. Bonbird already ranks #1 (Muscat) and #2 (Doha) for fried chicken searches. Biggest winnable term: 'west walk restaurants' (2,400, weak page one). Raising Cane's owns the Qatar Maps pack.</t>
        </is>
      </c>
    </row>
    <row r="17" ht="44" customHeight="1">
      <c r="A17" s="8" t="inlineStr">
        <is>
          <t>6. Partner-owned Business Profiles (Pakistan, Oman, Qatar) block the #1 lever in three markets until Yolk gets manager access.</t>
        </is>
      </c>
    </row>
  </sheetData>
  <mergeCells count="6">
    <mergeCell ref="A16:F16"/>
    <mergeCell ref="A13:F13"/>
    <mergeCell ref="A14:F14"/>
    <mergeCell ref="A17:F17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22" customWidth="1" min="4" max="4"/>
    <col width="18" customWidth="1" min="5" max="5"/>
    <col width="46" customWidth="1" min="6" max="6"/>
    <col width="26" customWidth="1" min="7" max="7"/>
    <col width="34" customWidth="1" min="8" max="8"/>
    <col width="36" customWidth="1" min="9" max="9"/>
    <col width="26" customWidth="1" min="10" max="10"/>
    <col width="9" customWidth="1" min="11" max="11"/>
    <col width="36" customWidth="1" min="12" max="12"/>
  </cols>
  <sheetData>
    <row r="1">
      <c r="A1" s="3" t="inlineStr">
        <is>
          <t>Market</t>
        </is>
      </c>
      <c r="B1" s="3" t="inlineStr">
        <is>
          <t>Keyword</t>
        </is>
      </c>
      <c r="C1" s="3" t="inlineStr">
        <is>
          <t>Searches / mo</t>
        </is>
      </c>
      <c r="D1" s="3" t="inlineStr">
        <is>
          <t>Volume source</t>
        </is>
      </c>
      <c r="E1" s="3" t="inlineStr">
        <is>
          <t>Cluster</t>
        </is>
      </c>
      <c r="F1" s="3" t="inlineStr">
        <is>
          <t>What Google shows (page one)</t>
        </is>
      </c>
      <c r="G1" s="3" t="inlineStr">
        <is>
          <t>Bonbird now</t>
        </is>
      </c>
      <c r="H1" s="3" t="inlineStr">
        <is>
          <t>Who ranks / competition</t>
        </is>
      </c>
      <c r="I1" s="3" t="inlineStr">
        <is>
          <t>Target page or asset</t>
        </is>
      </c>
      <c r="J1" s="3" t="inlineStr">
        <is>
          <t>Lever</t>
        </is>
      </c>
      <c r="K1" s="3" t="inlineStr">
        <is>
          <t>Priority</t>
        </is>
      </c>
      <c r="L1" s="3" t="inlineStr">
        <is>
          <t>Notes</t>
        </is>
      </c>
    </row>
    <row r="2">
      <c r="A2" s="9" t="inlineStr">
        <is>
          <t>UAE</t>
        </is>
      </c>
      <c r="B2" s="9" t="inlineStr">
        <is>
          <t>chicken near me</t>
        </is>
      </c>
      <c r="C2" s="10" t="n">
        <v>8100</v>
      </c>
      <c r="D2" s="9" t="inlineStr">
        <is>
          <t>Google Ads (DataForSEO), monthly</t>
        </is>
      </c>
      <c r="E2" s="9" t="inlineStr">
        <is>
          <t>Near me</t>
        </is>
      </c>
      <c r="F2" s="9" t="inlineStr">
        <is>
          <t>Maps pack + restaurant listings</t>
        </is>
      </c>
      <c r="G2" s="9" t="inlineStr">
        <is>
          <t>#2 (snapshot) · GSC avg #6.0</t>
        </is>
      </c>
      <c r="H2" s="9" t="inlineStr">
        <is>
          <t>Talabat #1, Crispy Chicken #2, Zomato #3, Texas #5</t>
        </is>
      </c>
      <c r="I2" s="9" t="inlineStr">
        <is>
          <t>5 UAE Business Profiles (+ /ae/dubai/)</t>
        </is>
      </c>
      <c r="J2" s="9" t="inlineStr">
        <is>
          <t>Business Profile</t>
        </is>
      </c>
      <c r="K2" s="9" t="inlineStr">
        <is>
          <t>P1</t>
        </is>
      </c>
      <c r="L2" s="9" t="inlineStr">
        <is>
          <t>Bonbird already top organic restaurant site</t>
        </is>
      </c>
    </row>
    <row r="3">
      <c r="A3" s="9" t="inlineStr">
        <is>
          <t>UAE</t>
        </is>
      </c>
      <c r="B3" s="9" t="inlineStr">
        <is>
          <t>fried chicken near me</t>
        </is>
      </c>
      <c r="C3" s="10" t="n">
        <v>4400</v>
      </c>
      <c r="D3" s="9" t="inlineStr">
        <is>
          <t>Google Ads (DataForSEO), monthly</t>
        </is>
      </c>
      <c r="E3" s="9" t="inlineStr">
        <is>
          <t>Near me</t>
        </is>
      </c>
      <c r="F3" s="9" t="inlineStr">
        <is>
          <t>Maps pack + AI Overview + lists (Zomato, magicpin, Restaurant Guru, MyDubaiBest)</t>
        </is>
      </c>
      <c r="G3" s="9" t="inlineStr">
        <is>
          <t>#3 (snapshot) · GSC avg #7.6</t>
        </is>
      </c>
      <c r="H3" s="9" t="inlineStr">
        <is>
          <t>Zomato, magicpin, Restaurant Guru, MyDubaiBest, Top-Rated</t>
        </is>
      </c>
      <c r="I3" s="9" t="inlineStr">
        <is>
          <t>5 UAE Business Profiles</t>
        </is>
      </c>
      <c r="J3" s="9" t="inlineStr">
        <is>
          <t>Business Profile + list outreach</t>
        </is>
      </c>
      <c r="K3" s="9" t="inlineStr">
        <is>
          <t>P1</t>
        </is>
      </c>
      <c r="L3" s="9" t="inlineStr">
        <is>
          <t>Get Bonbird onto the ranking lists</t>
        </is>
      </c>
    </row>
    <row r="4">
      <c r="A4" s="9" t="inlineStr">
        <is>
          <t>UAE</t>
        </is>
      </c>
      <c r="B4" s="9" t="inlineStr">
        <is>
          <t>crispy chicken near me</t>
        </is>
      </c>
      <c r="C4" s="10" t="n">
        <v>4400</v>
      </c>
      <c r="D4" s="9" t="inlineStr">
        <is>
          <t>Google Ads (DataForSEO), monthly</t>
        </is>
      </c>
      <c r="E4" s="9" t="inlineStr">
        <is>
          <t>Near me</t>
        </is>
      </c>
      <c r="F4" s="9" t="inlineStr">
        <is>
          <t>Maps pack (not page-checked)</t>
        </is>
      </c>
      <c r="G4" s="9" t="inlineStr">
        <is>
          <t>GSC avg #7.8</t>
        </is>
      </c>
      <c r="H4" s="9" t="inlineStr">
        <is>
          <t>—</t>
        </is>
      </c>
      <c r="I4" s="9" t="inlineStr">
        <is>
          <t>5 UAE Business Profiles</t>
        </is>
      </c>
      <c r="J4" s="9" t="inlineStr">
        <is>
          <t>Business Profile</t>
        </is>
      </c>
      <c r="K4" s="9" t="inlineStr">
        <is>
          <t>P1</t>
        </is>
      </c>
      <c r="L4" s="9" t="inlineStr"/>
    </row>
    <row r="5">
      <c r="A5" s="9" t="inlineStr">
        <is>
          <t>UAE</t>
        </is>
      </c>
      <c r="B5" s="9" t="inlineStr">
        <is>
          <t>best chicken near me</t>
        </is>
      </c>
      <c r="C5" s="10" t="n">
        <v>720</v>
      </c>
      <c r="D5" s="9" t="inlineStr">
        <is>
          <t>Google Ads (DataForSEO), monthly</t>
        </is>
      </c>
      <c r="E5" s="9" t="inlineStr">
        <is>
          <t>Near me</t>
        </is>
      </c>
      <c r="F5" s="9" t="inlineStr">
        <is>
          <t>Maps pack</t>
        </is>
      </c>
      <c r="G5" s="9" t="inlineStr">
        <is>
          <t>#3 (snapshot)</t>
        </is>
      </c>
      <c r="H5" s="9" t="inlineStr">
        <is>
          <t>—</t>
        </is>
      </c>
      <c r="I5" s="9" t="inlineStr">
        <is>
          <t>5 UAE Business Profiles</t>
        </is>
      </c>
      <c r="J5" s="9" t="inlineStr">
        <is>
          <t>Business Profile</t>
        </is>
      </c>
      <c r="K5" s="9" t="inlineStr">
        <is>
          <t>P2</t>
        </is>
      </c>
      <c r="L5" s="9" t="inlineStr"/>
    </row>
    <row r="6">
      <c r="A6" s="9" t="inlineStr">
        <is>
          <t>UAE</t>
        </is>
      </c>
      <c r="B6" s="9" t="inlineStr">
        <is>
          <t>good chicken near me</t>
        </is>
      </c>
      <c r="C6" s="10" t="n">
        <v>720</v>
      </c>
      <c r="D6" s="9" t="inlineStr">
        <is>
          <t>Google Ads (DataForSEO), monthly</t>
        </is>
      </c>
      <c r="E6" s="9" t="inlineStr">
        <is>
          <t>Near me</t>
        </is>
      </c>
      <c r="F6" s="9" t="inlineStr">
        <is>
          <t>Maps pack</t>
        </is>
      </c>
      <c r="G6" s="9" t="inlineStr">
        <is>
          <t>#6 (snapshot)</t>
        </is>
      </c>
      <c r="H6" s="9" t="inlineStr">
        <is>
          <t>—</t>
        </is>
      </c>
      <c r="I6" s="9" t="inlineStr">
        <is>
          <t>5 UAE Business Profiles</t>
        </is>
      </c>
      <c r="J6" s="9" t="inlineStr">
        <is>
          <t>Business Profile</t>
        </is>
      </c>
      <c r="K6" s="9" t="inlineStr">
        <is>
          <t>P2</t>
        </is>
      </c>
      <c r="L6" s="9" t="inlineStr"/>
    </row>
    <row r="7">
      <c r="A7" s="9" t="inlineStr">
        <is>
          <t>UAE</t>
        </is>
      </c>
      <c r="B7" s="9" t="inlineStr">
        <is>
          <t>chicken shop near me</t>
        </is>
      </c>
      <c r="C7" s="10" t="n">
        <v>880</v>
      </c>
      <c r="D7" s="9" t="inlineStr">
        <is>
          <t>Google Ads (DataForSEO), monthly</t>
        </is>
      </c>
      <c r="E7" s="9" t="inlineStr">
        <is>
          <t>Near me</t>
        </is>
      </c>
      <c r="F7" s="9" t="inlineStr">
        <is>
          <t>Maps pack</t>
        </is>
      </c>
      <c r="G7" s="9" t="inlineStr">
        <is>
          <t>GSC avg #7.7</t>
        </is>
      </c>
      <c r="H7" s="9" t="inlineStr">
        <is>
          <t>—</t>
        </is>
      </c>
      <c r="I7" s="9" t="inlineStr">
        <is>
          <t>5 UAE Business Profiles</t>
        </is>
      </c>
      <c r="J7" s="9" t="inlineStr">
        <is>
          <t>Business Profile</t>
        </is>
      </c>
      <c r="K7" s="9" t="inlineStr">
        <is>
          <t>P2</t>
        </is>
      </c>
      <c r="L7" s="9" t="inlineStr"/>
    </row>
    <row r="8">
      <c r="A8" s="9" t="inlineStr">
        <is>
          <t>UAE</t>
        </is>
      </c>
      <c r="B8" s="9" t="inlineStr">
        <is>
          <t>chicken restaurant near me</t>
        </is>
      </c>
      <c r="C8" s="10" t="n">
        <v>480</v>
      </c>
      <c r="D8" s="9" t="inlineStr">
        <is>
          <t>Google Ads (DataForSEO), monthly</t>
        </is>
      </c>
      <c r="E8" s="9" t="inlineStr">
        <is>
          <t>Near me</t>
        </is>
      </c>
      <c r="F8" s="9" t="inlineStr">
        <is>
          <t>Maps pack</t>
        </is>
      </c>
      <c r="G8" s="9" t="inlineStr">
        <is>
          <t>#3 (snapshot) · GSC #5.7</t>
        </is>
      </c>
      <c r="H8" s="9" t="inlineStr">
        <is>
          <t>—</t>
        </is>
      </c>
      <c r="I8" s="9" t="inlineStr">
        <is>
          <t>5 UAE Business Profiles</t>
        </is>
      </c>
      <c r="J8" s="9" t="inlineStr">
        <is>
          <t>Business Profile</t>
        </is>
      </c>
      <c r="K8" s="9" t="inlineStr">
        <is>
          <t>P2</t>
        </is>
      </c>
      <c r="L8" s="9" t="inlineStr"/>
    </row>
    <row r="9">
      <c r="A9" s="9" t="inlineStr">
        <is>
          <t>UAE</t>
        </is>
      </c>
      <c r="B9" s="9" t="inlineStr">
        <is>
          <t>chicken burger near me</t>
        </is>
      </c>
      <c r="C9" s="10" t="n">
        <v>260</v>
      </c>
      <c r="D9" s="9" t="inlineStr">
        <is>
          <t>Google Ads (DataForSEO), monthly</t>
        </is>
      </c>
      <c r="E9" s="9" t="inlineStr">
        <is>
          <t>Near me</t>
        </is>
      </c>
      <c r="F9" s="9" t="inlineStr">
        <is>
          <t>Maps pack</t>
        </is>
      </c>
      <c r="G9" s="9" t="inlineStr">
        <is>
          <t>#3 (snapshot)</t>
        </is>
      </c>
      <c r="H9" s="9" t="inlineStr">
        <is>
          <t>Jollibee #6</t>
        </is>
      </c>
      <c r="I9" s="9" t="inlineStr">
        <is>
          <t>5 UAE Business Profiles</t>
        </is>
      </c>
      <c r="J9" s="9" t="inlineStr">
        <is>
          <t>Business Profile</t>
        </is>
      </c>
      <c r="K9" s="9" t="inlineStr">
        <is>
          <t>P2</t>
        </is>
      </c>
      <c r="L9" s="9" t="inlineStr"/>
    </row>
    <row r="10">
      <c r="A10" s="9" t="inlineStr">
        <is>
          <t>UAE</t>
        </is>
      </c>
      <c r="B10" s="9" t="inlineStr">
        <is>
          <t>chicken tenders near me</t>
        </is>
      </c>
      <c r="C10" s="10" t="n">
        <v>170</v>
      </c>
      <c r="D10" s="9" t="inlineStr">
        <is>
          <t>Google Ads (DataForSEO), monthly</t>
        </is>
      </c>
      <c r="E10" s="9" t="inlineStr">
        <is>
          <t>Near me</t>
        </is>
      </c>
      <c r="F10" s="9" t="inlineStr">
        <is>
          <t>Maps pack</t>
        </is>
      </c>
      <c r="G10" s="9" t="inlineStr">
        <is>
          <t>#12 (snapshot)</t>
        </is>
      </c>
      <c r="H10" s="9" t="inlineStr">
        <is>
          <t>Texas #3–8</t>
        </is>
      </c>
      <c r="I10" s="9" t="inlineStr">
        <is>
          <t>5 UAE Business Profiles + /ae/chicken-tenders/</t>
        </is>
      </c>
      <c r="J10" s="9" t="inlineStr">
        <is>
          <t>Business Profile + page</t>
        </is>
      </c>
      <c r="K10" s="9" t="inlineStr">
        <is>
          <t>P2</t>
        </is>
      </c>
      <c r="L10" s="9" t="inlineStr"/>
    </row>
    <row r="11">
      <c r="A11" s="9" t="inlineStr">
        <is>
          <t>UAE</t>
        </is>
      </c>
      <c r="B11" s="9" t="inlineStr">
        <is>
          <t>spicy chicken near me</t>
        </is>
      </c>
      <c r="C11" s="10" t="n">
        <v>210</v>
      </c>
      <c r="D11" s="9" t="inlineStr">
        <is>
          <t>Google Ads (DataForSEO), monthly</t>
        </is>
      </c>
      <c r="E11" s="9" t="inlineStr">
        <is>
          <t>Near me</t>
        </is>
      </c>
      <c r="F11" s="9" t="inlineStr">
        <is>
          <t>Talabat/Zomato listings + Time Out Dubai '13 best places to order fried chicken'</t>
        </is>
      </c>
      <c r="G11" s="9" t="inlineStr">
        <is>
          <t>not ranking</t>
        </is>
      </c>
      <c r="H11" s="9" t="inlineStr">
        <is>
          <t>Spicy Fresh Chicken (rival), Time Out list</t>
        </is>
      </c>
      <c r="I11" s="9" t="inlineStr">
        <is>
          <t>Business Profile + Time Out list</t>
        </is>
      </c>
      <c r="J11" s="9" t="inlineStr">
        <is>
          <t>List outreach</t>
        </is>
      </c>
      <c r="K11" s="9" t="inlineStr">
        <is>
          <t>P2</t>
        </is>
      </c>
      <c r="L11" s="9" t="inlineStr">
        <is>
          <t>Time Out Dubai list is an outreach target</t>
        </is>
      </c>
    </row>
    <row r="12">
      <c r="A12" s="9" t="inlineStr">
        <is>
          <t>UAE</t>
        </is>
      </c>
      <c r="B12" s="9" t="inlineStr">
        <is>
          <t>hot chicken near me</t>
        </is>
      </c>
      <c r="C12" s="10" t="n">
        <v>110</v>
      </c>
      <c r="D12" s="9" t="inlineStr">
        <is>
          <t>Google Ads (DataForSEO), monthly</t>
        </is>
      </c>
      <c r="E12" s="9" t="inlineStr">
        <is>
          <t>Near me</t>
        </is>
      </c>
      <c r="F12" s="9" t="inlineStr">
        <is>
          <t>Maps pack</t>
        </is>
      </c>
      <c r="G12" s="9" t="inlineStr">
        <is>
          <t>not ranking</t>
        </is>
      </c>
      <c r="H12" s="9" t="inlineStr">
        <is>
          <t>—</t>
        </is>
      </c>
      <c r="I12" s="9" t="inlineStr">
        <is>
          <t>5 UAE Business Profiles</t>
        </is>
      </c>
      <c r="J12" s="9" t="inlineStr">
        <is>
          <t>Business Profile</t>
        </is>
      </c>
      <c r="K12" s="9" t="inlineStr">
        <is>
          <t>P3</t>
        </is>
      </c>
      <c r="L12" s="9" t="inlineStr"/>
    </row>
    <row r="13">
      <c r="A13" s="9" t="inlineStr">
        <is>
          <t>UAE</t>
        </is>
      </c>
      <c r="B13" s="9" t="inlineStr">
        <is>
          <t>burger near me</t>
        </is>
      </c>
      <c r="C13" s="10" t="n">
        <v>27100</v>
      </c>
      <c r="D13" s="9" t="inlineStr">
        <is>
          <t>Google Ads (DataForSEO), monthly</t>
        </is>
      </c>
      <c r="E13" s="9" t="inlineStr">
        <is>
          <t>Near me (burger)</t>
        </is>
      </c>
      <c r="F13" s="9" t="inlineStr">
        <is>
          <t>Maps pack (not page-checked)</t>
        </is>
      </c>
      <c r="G13" s="9" t="inlineStr">
        <is>
          <t>GSC avg #8.1</t>
        </is>
      </c>
      <c r="H13" s="9" t="inlineStr">
        <is>
          <t>Burger chains</t>
        </is>
      </c>
      <c r="I13" s="9" t="inlineStr">
        <is>
          <t>5 UAE Business Profiles (secondary category)</t>
        </is>
      </c>
      <c r="J13" s="9" t="inlineStr">
        <is>
          <t>Business Profile</t>
        </is>
      </c>
      <c r="K13" s="9" t="inlineStr">
        <is>
          <t>P3</t>
        </is>
      </c>
      <c r="L13" s="9" t="inlineStr">
        <is>
          <t>Bonbird is a chicken brand; burger is secondary</t>
        </is>
      </c>
    </row>
    <row r="14">
      <c r="A14" s="9" t="inlineStr">
        <is>
          <t>UAE</t>
        </is>
      </c>
      <c r="B14" s="9" t="inlineStr">
        <is>
          <t>fast food near me</t>
        </is>
      </c>
      <c r="C14" s="10" t="n">
        <v>12100</v>
      </c>
      <c r="D14" s="9" t="inlineStr">
        <is>
          <t>Google Ads (DataForSEO), monthly</t>
        </is>
      </c>
      <c r="E14" s="9" t="inlineStr">
        <is>
          <t>Near me (fast food)</t>
        </is>
      </c>
      <c r="F14" s="9" t="inlineStr">
        <is>
          <t>Maps pack (not page-checked)</t>
        </is>
      </c>
      <c r="G14" s="9" t="inlineStr">
        <is>
          <t>GSC avg #12.4</t>
        </is>
      </c>
      <c r="H14" s="9" t="inlineStr">
        <is>
          <t>Chains</t>
        </is>
      </c>
      <c r="I14" s="9" t="inlineStr">
        <is>
          <t>5 UAE Business Profiles</t>
        </is>
      </c>
      <c r="J14" s="9" t="inlineStr">
        <is>
          <t>Business Profile</t>
        </is>
      </c>
      <c r="K14" s="9" t="inlineStr">
        <is>
          <t>P3</t>
        </is>
      </c>
      <c r="L14" s="9" t="inlineStr"/>
    </row>
    <row r="15">
      <c r="A15" s="9" t="inlineStr">
        <is>
          <t>UAE</t>
        </is>
      </c>
      <c r="B15" s="9" t="inlineStr">
        <is>
          <t>best fried chicken in dubai</t>
        </is>
      </c>
      <c r="C15" s="10" t="n">
        <v>590</v>
      </c>
      <c r="D15" s="9" t="inlineStr">
        <is>
          <t>Google Ads (DataForSEO), monthly</t>
        </is>
      </c>
      <c r="E15" s="9" t="inlineStr">
        <is>
          <t>Dubai</t>
        </is>
      </c>
      <c r="F15" s="9" t="inlineStr">
        <is>
          <t>AI Overview + lists (Zomato, TikTok, TripAdvisor, Medium)</t>
        </is>
      </c>
      <c r="G15" s="9" t="inlineStr">
        <is>
          <t>#2 (snapshot) · GSC avg #5.6</t>
        </is>
      </c>
      <c r="H15" s="9" t="inlineStr">
        <is>
          <t>Zomato #1, TikTok #2, Dave's #24</t>
        </is>
      </c>
      <c r="I15" s="9" t="inlineStr">
        <is>
          <t>/ae/dubai/</t>
        </is>
      </c>
      <c r="J15" s="9" t="inlineStr">
        <is>
          <t>Page (title) + list outreach</t>
        </is>
      </c>
      <c r="K15" s="9" t="inlineStr">
        <is>
          <t>P1</t>
        </is>
      </c>
      <c r="L15" s="9" t="inlineStr">
        <is>
          <t>Bonbird #3 on live check</t>
        </is>
      </c>
    </row>
    <row r="16">
      <c r="A16" s="9" t="inlineStr">
        <is>
          <t>UAE</t>
        </is>
      </c>
      <c r="B16" s="9" t="inlineStr">
        <is>
          <t>best fried chicken dubai</t>
        </is>
      </c>
      <c r="C16" s="10" t="n">
        <v>590</v>
      </c>
      <c r="D16" s="9" t="inlineStr">
        <is>
          <t>Google Ads (DataForSEO), monthly</t>
        </is>
      </c>
      <c r="E16" s="9" t="inlineStr">
        <is>
          <t>Dubai</t>
        </is>
      </c>
      <c r="F16" s="9" t="inlineStr">
        <is>
          <t>Same cluster as above</t>
        </is>
      </c>
      <c r="G16" s="9" t="inlineStr">
        <is>
          <t>#2 (snapshot) · GSC avg #6.1</t>
        </is>
      </c>
      <c r="H16" s="9" t="inlineStr">
        <is>
          <t>—</t>
        </is>
      </c>
      <c r="I16" s="9" t="inlineStr">
        <is>
          <t>/ae/dubai/</t>
        </is>
      </c>
      <c r="J16" s="9" t="inlineStr">
        <is>
          <t>Page (title)</t>
        </is>
      </c>
      <c r="K16" s="9" t="inlineStr">
        <is>
          <t>P1</t>
        </is>
      </c>
      <c r="L16" s="9" t="inlineStr">
        <is>
          <t>Same keyword cluster</t>
        </is>
      </c>
    </row>
    <row r="17">
      <c r="A17" s="9" t="inlineStr">
        <is>
          <t>UAE</t>
        </is>
      </c>
      <c r="B17" s="9" t="inlineStr">
        <is>
          <t>fried chicken dubai</t>
        </is>
      </c>
      <c r="C17" s="10" t="n">
        <v>390</v>
      </c>
      <c r="D17" s="9" t="inlineStr">
        <is>
          <t>Google Ads (DataForSEO), monthly</t>
        </is>
      </c>
      <c r="E17" s="9" t="inlineStr">
        <is>
          <t>Dubai</t>
        </is>
      </c>
      <c r="F17" s="9" t="inlineStr">
        <is>
          <t>Restaurants</t>
        </is>
      </c>
      <c r="G17" s="9" t="inlineStr">
        <is>
          <t>#2 (snapshot) · GSC avg #9.4</t>
        </is>
      </c>
      <c r="H17" s="9" t="inlineStr">
        <is>
          <t>Texas #12</t>
        </is>
      </c>
      <c r="I17" s="9" t="inlineStr">
        <is>
          <t>/ae/dubai/</t>
        </is>
      </c>
      <c r="J17" s="9" t="inlineStr">
        <is>
          <t>Page (title)</t>
        </is>
      </c>
      <c r="K17" s="9" t="inlineStr">
        <is>
          <t>P1</t>
        </is>
      </c>
      <c r="L17" s="9" t="inlineStr"/>
    </row>
    <row r="18">
      <c r="A18" s="9" t="inlineStr">
        <is>
          <t>UAE</t>
        </is>
      </c>
      <c r="B18" s="9" t="inlineStr">
        <is>
          <t>crispy chicken dubai</t>
        </is>
      </c>
      <c r="C18" s="10" t="n">
        <v>1900</v>
      </c>
      <c r="D18" s="9" t="inlineStr">
        <is>
          <t>Google Ads (DataForSEO), monthly</t>
        </is>
      </c>
      <c r="E18" s="9" t="inlineStr">
        <is>
          <t>Dubai</t>
        </is>
      </c>
      <c r="F18" s="9" t="inlineStr">
        <is>
          <t>Not page-checked; may include rival brand 'Crispy Chicken UAE'</t>
        </is>
      </c>
      <c r="G18" s="9" t="inlineStr">
        <is>
          <t>#7 (snapshot) · GSC avg #9.6</t>
        </is>
      </c>
      <c r="H18" s="9" t="inlineStr">
        <is>
          <t>Crispy Chicken UAE (brand)</t>
        </is>
      </c>
      <c r="I18" s="9" t="inlineStr">
        <is>
          <t>/ae/dubai/</t>
        </is>
      </c>
      <c r="J18" s="9" t="inlineStr">
        <is>
          <t>Page</t>
        </is>
      </c>
      <c r="K18" s="9" t="inlineStr">
        <is>
          <t>P2</t>
        </is>
      </c>
      <c r="L18" s="9" t="inlineStr">
        <is>
          <t>Check page one before relying on it</t>
        </is>
      </c>
    </row>
    <row r="19">
      <c r="A19" s="9" t="inlineStr">
        <is>
          <t>UAE</t>
        </is>
      </c>
      <c r="B19" s="9" t="inlineStr">
        <is>
          <t>chicken dubai / chicken in dubai</t>
        </is>
      </c>
      <c r="C19" s="10" t="n">
        <v>480</v>
      </c>
      <c r="D19" s="9" t="inlineStr">
        <is>
          <t>Google Ads (DataForSEO), monthly</t>
        </is>
      </c>
      <c r="E19" s="9" t="inlineStr">
        <is>
          <t>Dubai</t>
        </is>
      </c>
      <c r="F19" s="9" t="inlineStr">
        <is>
          <t>Restaurants</t>
        </is>
      </c>
      <c r="G19" s="9" t="inlineStr">
        <is>
          <t>#4 (snapshot)</t>
        </is>
      </c>
      <c r="H19" s="9" t="inlineStr">
        <is>
          <t>Texas #13, Dave's #10</t>
        </is>
      </c>
      <c r="I19" s="9" t="inlineStr">
        <is>
          <t>/ae/dubai/</t>
        </is>
      </c>
      <c r="J19" s="9" t="inlineStr">
        <is>
          <t>Page</t>
        </is>
      </c>
      <c r="K19" s="9" t="inlineStr">
        <is>
          <t>P2</t>
        </is>
      </c>
      <c r="L19" s="9" t="inlineStr"/>
    </row>
    <row r="20">
      <c r="A20" s="9" t="inlineStr">
        <is>
          <t>UAE</t>
        </is>
      </c>
      <c r="B20" s="9" t="inlineStr">
        <is>
          <t>chicken restaurants in dubai (+ variants)</t>
        </is>
      </c>
      <c r="C20" s="10" t="n">
        <v>170</v>
      </c>
      <c r="D20" s="9" t="inlineStr">
        <is>
          <t>Google Ads (DataForSEO), monthly</t>
        </is>
      </c>
      <c r="E20" s="9" t="inlineStr">
        <is>
          <t>Dubai</t>
        </is>
      </c>
      <c r="F20" s="9" t="inlineStr">
        <is>
          <t>Restaurants</t>
        </is>
      </c>
      <c r="G20" s="9" t="inlineStr">
        <is>
          <t>#8–11 (snapshot)</t>
        </is>
      </c>
      <c r="H20" s="9" t="inlineStr">
        <is>
          <t>Texas #1–4</t>
        </is>
      </c>
      <c r="I20" s="9" t="inlineStr">
        <is>
          <t>/ae/dubai/</t>
        </is>
      </c>
      <c r="J20" s="9" t="inlineStr">
        <is>
          <t>Page</t>
        </is>
      </c>
      <c r="K20" s="9" t="inlineStr">
        <is>
          <t>P2</t>
        </is>
      </c>
      <c r="L20" s="9" t="inlineStr">
        <is>
          <t>Texas Chicken is the site to beat</t>
        </is>
      </c>
    </row>
    <row r="21">
      <c r="A21" s="9" t="inlineStr">
        <is>
          <t>UAE</t>
        </is>
      </c>
      <c r="B21" s="9" t="inlineStr">
        <is>
          <t>best chicken abu dhabi</t>
        </is>
      </c>
      <c r="C21" s="10" t="n">
        <v>1300</v>
      </c>
      <c r="D21" s="9" t="inlineStr">
        <is>
          <t>Google Ads (DataForSEO), monthly</t>
        </is>
      </c>
      <c r="E21" s="9" t="inlineStr">
        <is>
          <t>Abu Dhabi</t>
        </is>
      </c>
      <c r="F21" s="9" t="inlineStr">
        <is>
          <t>Restaurants (not page-checked)</t>
        </is>
      </c>
      <c r="G21" s="9" t="inlineStr">
        <is>
          <t>#6 (snapshot) · GSC avg #8.9</t>
        </is>
      </c>
      <c r="H21" s="9" t="inlineStr">
        <is>
          <t>—</t>
        </is>
      </c>
      <c r="I21" s="9" t="inlineStr">
        <is>
          <t>/ae/abu-dhabi/</t>
        </is>
      </c>
      <c r="J21" s="9" t="inlineStr">
        <is>
          <t>Page</t>
        </is>
      </c>
      <c r="K21" s="9" t="inlineStr">
        <is>
          <t>P1</t>
        </is>
      </c>
      <c r="L21" s="9" t="inlineStr"/>
    </row>
    <row r="22">
      <c r="A22" s="9" t="inlineStr">
        <is>
          <t>UAE</t>
        </is>
      </c>
      <c r="B22" s="9" t="inlineStr">
        <is>
          <t>crispy chicken abu dhabi</t>
        </is>
      </c>
      <c r="C22" s="10" t="n">
        <v>2400</v>
      </c>
      <c r="D22" s="9" t="inlineStr">
        <is>
          <t>Google Ads (DataForSEO), monthly</t>
        </is>
      </c>
      <c r="E22" s="9" t="inlineStr">
        <is>
          <t>Abu Dhabi</t>
        </is>
      </c>
      <c r="F22" s="9" t="inlineStr">
        <is>
          <t>Not page-checked; may include rival brand</t>
        </is>
      </c>
      <c r="G22" s="9" t="inlineStr">
        <is>
          <t>GSC avg #9.6</t>
        </is>
      </c>
      <c r="H22" s="9" t="inlineStr">
        <is>
          <t>Crispy Chicken UAE has Abu Dhabi branches</t>
        </is>
      </c>
      <c r="I22" s="9" t="inlineStr">
        <is>
          <t>/ae/abu-dhabi/</t>
        </is>
      </c>
      <c r="J22" s="9" t="inlineStr">
        <is>
          <t>Page</t>
        </is>
      </c>
      <c r="K22" s="9" t="inlineStr">
        <is>
          <t>P2</t>
        </is>
      </c>
      <c r="L22" s="9" t="inlineStr">
        <is>
          <t>Check page one before relying on it</t>
        </is>
      </c>
    </row>
    <row r="23">
      <c r="A23" s="9" t="inlineStr">
        <is>
          <t>UAE</t>
        </is>
      </c>
      <c r="B23" s="9" t="inlineStr">
        <is>
          <t>chicken abu dhabi</t>
        </is>
      </c>
      <c r="C23" s="10" t="n">
        <v>260</v>
      </c>
      <c r="D23" s="9" t="inlineStr">
        <is>
          <t>Google Ads (DataForSEO), monthly</t>
        </is>
      </c>
      <c r="E23" s="9" t="inlineStr">
        <is>
          <t>Abu Dhabi</t>
        </is>
      </c>
      <c r="F23" s="9" t="inlineStr">
        <is>
          <t>Restaurants</t>
        </is>
      </c>
      <c r="G23" s="9" t="inlineStr">
        <is>
          <t>#2 (snapshot)</t>
        </is>
      </c>
      <c r="H23" s="9" t="inlineStr">
        <is>
          <t>—</t>
        </is>
      </c>
      <c r="I23" s="9" t="inlineStr">
        <is>
          <t>/ae/abu-dhabi/</t>
        </is>
      </c>
      <c r="J23" s="9" t="inlineStr">
        <is>
          <t>Page</t>
        </is>
      </c>
      <c r="K23" s="9" t="inlineStr">
        <is>
          <t>P2</t>
        </is>
      </c>
      <c r="L23" s="9" t="inlineStr"/>
    </row>
    <row r="24">
      <c r="A24" s="9" t="inlineStr">
        <is>
          <t>UAE</t>
        </is>
      </c>
      <c r="B24" s="9" t="inlineStr">
        <is>
          <t>best fried chicken abu dhabi</t>
        </is>
      </c>
      <c r="C24" s="10" t="n">
        <v>110</v>
      </c>
      <c r="D24" s="9" t="inlineStr">
        <is>
          <t>Google Ads (DataForSEO), monthly</t>
        </is>
      </c>
      <c r="E24" s="9" t="inlineStr">
        <is>
          <t>Abu Dhabi</t>
        </is>
      </c>
      <c r="F24" s="9" t="inlineStr">
        <is>
          <t>Restaurants</t>
        </is>
      </c>
      <c r="G24" s="9" t="inlineStr">
        <is>
          <t>GSC avg #5.7</t>
        </is>
      </c>
      <c r="H24" s="9" t="inlineStr">
        <is>
          <t>—</t>
        </is>
      </c>
      <c r="I24" s="9" t="inlineStr">
        <is>
          <t>/ae/abu-dhabi/</t>
        </is>
      </c>
      <c r="J24" s="9" t="inlineStr">
        <is>
          <t>Page</t>
        </is>
      </c>
      <c r="K24" s="9" t="inlineStr">
        <is>
          <t>P2</t>
        </is>
      </c>
      <c r="L24" s="9" t="inlineStr"/>
    </row>
    <row r="25">
      <c r="A25" s="9" t="inlineStr">
        <is>
          <t>UAE</t>
        </is>
      </c>
      <c r="B25" s="9" t="inlineStr">
        <is>
          <t>fried chicken abu dhabi</t>
        </is>
      </c>
      <c r="C25" s="10" t="n">
        <v>140</v>
      </c>
      <c r="D25" s="9" t="inlineStr">
        <is>
          <t>Google Ads (DataForSEO), monthly</t>
        </is>
      </c>
      <c r="E25" s="9" t="inlineStr">
        <is>
          <t>Abu Dhabi</t>
        </is>
      </c>
      <c r="F25" s="9" t="inlineStr">
        <is>
          <t>Restaurants</t>
        </is>
      </c>
      <c r="G25" s="9" t="inlineStr">
        <is>
          <t>GSC avg #16.5</t>
        </is>
      </c>
      <c r="H25" s="9" t="inlineStr">
        <is>
          <t>—</t>
        </is>
      </c>
      <c r="I25" s="9" t="inlineStr">
        <is>
          <t>/ae/abu-dhabi/</t>
        </is>
      </c>
      <c r="J25" s="9" t="inlineStr">
        <is>
          <t>Page</t>
        </is>
      </c>
      <c r="K25" s="9" t="inlineStr">
        <is>
          <t>P2</t>
        </is>
      </c>
      <c r="L25" s="9" t="inlineStr"/>
    </row>
    <row r="26">
      <c r="A26" s="9" t="inlineStr">
        <is>
          <t>UAE</t>
        </is>
      </c>
      <c r="B26" s="9" t="inlineStr">
        <is>
          <t>chicken sharjah</t>
        </is>
      </c>
      <c r="C26" s="10" t="n">
        <v>320</v>
      </c>
      <c r="D26" s="9" t="inlineStr">
        <is>
          <t>Google Ads (DataForSEO), monthly</t>
        </is>
      </c>
      <c r="E26" s="9" t="inlineStr">
        <is>
          <t>Sharjah</t>
        </is>
      </c>
      <c r="F26" s="9" t="inlineStr">
        <is>
          <t>Restaurants</t>
        </is>
      </c>
      <c r="G26" s="9" t="inlineStr">
        <is>
          <t>#8 (snapshot)</t>
        </is>
      </c>
      <c r="H26" s="9" t="inlineStr">
        <is>
          <t>—</t>
        </is>
      </c>
      <c r="I26" s="9" t="inlineStr">
        <is>
          <t>/ae/sharjah/</t>
        </is>
      </c>
      <c r="J26" s="9" t="inlineStr">
        <is>
          <t>Page</t>
        </is>
      </c>
      <c r="K26" s="9" t="inlineStr">
        <is>
          <t>P2</t>
        </is>
      </c>
      <c r="L26" s="9" t="inlineStr"/>
    </row>
    <row r="27">
      <c r="A27" s="9" t="inlineStr">
        <is>
          <t>UAE</t>
        </is>
      </c>
      <c r="B27" s="9" t="inlineStr">
        <is>
          <t>fried chicken sharjah</t>
        </is>
      </c>
      <c r="C27" s="10" t="n">
        <v>140</v>
      </c>
      <c r="D27" s="9" t="inlineStr">
        <is>
          <t>Google Ads (DataForSEO), monthly</t>
        </is>
      </c>
      <c r="E27" s="9" t="inlineStr">
        <is>
          <t>Sharjah</t>
        </is>
      </c>
      <c r="F27" s="9" t="inlineStr">
        <is>
          <t>Restaurants</t>
        </is>
      </c>
      <c r="G27" s="9" t="inlineStr">
        <is>
          <t>GSC avg #5.1</t>
        </is>
      </c>
      <c r="H27" s="9" t="inlineStr">
        <is>
          <t>—</t>
        </is>
      </c>
      <c r="I27" s="9" t="inlineStr">
        <is>
          <t>/ae/sharjah/</t>
        </is>
      </c>
      <c r="J27" s="9" t="inlineStr">
        <is>
          <t>Page</t>
        </is>
      </c>
      <c r="K27" s="9" t="inlineStr">
        <is>
          <t>P3</t>
        </is>
      </c>
      <c r="L27" s="9" t="inlineStr"/>
    </row>
    <row r="28">
      <c r="A28" s="9" t="inlineStr">
        <is>
          <t>UAE</t>
        </is>
      </c>
      <c r="B28" s="9" t="inlineStr">
        <is>
          <t>best chicken</t>
        </is>
      </c>
      <c r="C28" s="10" t="n">
        <v>1600</v>
      </c>
      <c r="D28" s="9" t="inlineStr">
        <is>
          <t>Google Ads (DataForSEO), monthly</t>
        </is>
      </c>
      <c r="E28" s="9" t="inlineStr">
        <is>
          <t>Generic</t>
        </is>
      </c>
      <c r="F28" s="9" t="inlineStr">
        <is>
          <t>Not page-checked</t>
        </is>
      </c>
      <c r="G28" s="9" t="inlineStr">
        <is>
          <t>#9 (snapshot) · GSC avg #8.5</t>
        </is>
      </c>
      <c r="H28" s="9" t="inlineStr">
        <is>
          <t>—</t>
        </is>
      </c>
      <c r="I28" s="9" t="inlineStr">
        <is>
          <t>ONE page: today /ae/abu-dhabi/ and a journal post compete</t>
        </is>
      </c>
      <c r="J28" s="9" t="inlineStr">
        <is>
          <t>Page (merge overlap)</t>
        </is>
      </c>
      <c r="K28" s="9" t="inlineStr">
        <is>
          <t>P2</t>
        </is>
      </c>
      <c r="L28" s="9" t="inlineStr">
        <is>
          <t>Cannibalisation to fix</t>
        </is>
      </c>
    </row>
    <row r="29">
      <c r="A29" s="9" t="inlineStr">
        <is>
          <t>UAE</t>
        </is>
      </c>
      <c r="B29" s="9" t="inlineStr">
        <is>
          <t>hot fried chicken</t>
        </is>
      </c>
      <c r="C29" s="10" t="n">
        <v>1000</v>
      </c>
      <c r="D29" s="9" t="inlineStr">
        <is>
          <t>Google Ads (DataForSEO), monthly</t>
        </is>
      </c>
      <c r="E29" s="9" t="inlineStr">
        <is>
          <t>Hot chicken</t>
        </is>
      </c>
      <c r="F29" s="9" t="inlineStr">
        <is>
          <t>Restaurants</t>
        </is>
      </c>
      <c r="G29" s="9" t="inlineStr">
        <is>
          <t>#5 (snapshot)</t>
        </is>
      </c>
      <c r="H29" s="9" t="inlineStr">
        <is>
          <t>Dave's #7</t>
        </is>
      </c>
      <c r="I29" s="9" t="inlineStr">
        <is>
          <t>/ae/chicken/ (Nashville hot chicken page)</t>
        </is>
      </c>
      <c r="J29" s="9" t="inlineStr">
        <is>
          <t>Page</t>
        </is>
      </c>
      <c r="K29" s="9" t="inlineStr">
        <is>
          <t>P1</t>
        </is>
      </c>
      <c r="L29" s="9" t="inlineStr"/>
    </row>
    <row r="30">
      <c r="A30" s="9" t="inlineStr">
        <is>
          <t>UAE</t>
        </is>
      </c>
      <c r="B30" s="9" t="inlineStr">
        <is>
          <t>nashville chicken</t>
        </is>
      </c>
      <c r="C30" s="10" t="n">
        <v>480</v>
      </c>
      <c r="D30" s="9" t="inlineStr">
        <is>
          <t>Google Ads (DataForSEO), monthly</t>
        </is>
      </c>
      <c r="E30" s="9" t="inlineStr">
        <is>
          <t>Hot chicken</t>
        </is>
      </c>
      <c r="F30" s="9" t="inlineStr">
        <is>
          <t>Aggregator listings only (Zomato, Last Exit, Talabat) + TikTok</t>
        </is>
      </c>
      <c r="G30" s="9" t="inlineStr">
        <is>
          <t>not ranking</t>
        </is>
      </c>
      <c r="H30" s="9" t="inlineStr">
        <is>
          <t>Nash Hot Chicken, Dave's (via listings)</t>
        </is>
      </c>
      <c r="I30" s="9" t="inlineStr">
        <is>
          <t>/ae/chicken/ (Nashville hot chicken page)</t>
        </is>
      </c>
      <c r="J30" s="9" t="inlineStr">
        <is>
          <t>Page + delivery listings</t>
        </is>
      </c>
      <c r="K30" s="9" t="inlineStr">
        <is>
          <t>P1</t>
        </is>
      </c>
      <c r="L30" s="9" t="inlineStr">
        <is>
          <t>No restaurant has a real page — open goal</t>
        </is>
      </c>
    </row>
    <row r="31">
      <c r="A31" s="9" t="inlineStr">
        <is>
          <t>UAE</t>
        </is>
      </c>
      <c r="B31" s="9" t="inlineStr">
        <is>
          <t>hot chicken</t>
        </is>
      </c>
      <c r="C31" s="10" t="n">
        <v>320</v>
      </c>
      <c r="D31" s="9" t="inlineStr">
        <is>
          <t>Google Ads (DataForSEO), monthly</t>
        </is>
      </c>
      <c r="E31" s="9" t="inlineStr">
        <is>
          <t>Hot chicken</t>
        </is>
      </c>
      <c r="F31" s="9" t="inlineStr">
        <is>
          <t>Dave's listings (MenuPages, Zomato, TripAdvisor) + What's On</t>
        </is>
      </c>
      <c r="G31" s="9" t="inlineStr">
        <is>
          <t>not ranking</t>
        </is>
      </c>
      <c r="H31" s="9" t="inlineStr">
        <is>
          <t>Dave's (via listings)</t>
        </is>
      </c>
      <c r="I31" s="9" t="inlineStr">
        <is>
          <t>/ae/chicken/ (Nashville hot chicken page)</t>
        </is>
      </c>
      <c r="J31" s="9" t="inlineStr">
        <is>
          <t>Page + delivery listings</t>
        </is>
      </c>
      <c r="K31" s="9" t="inlineStr">
        <is>
          <t>P1</t>
        </is>
      </c>
      <c r="L31" s="9" t="inlineStr"/>
    </row>
    <row r="32">
      <c r="A32" s="9" t="inlineStr">
        <is>
          <t>UAE</t>
        </is>
      </c>
      <c r="B32" s="9" t="inlineStr">
        <is>
          <t>nashville hot chicken</t>
        </is>
      </c>
      <c r="C32" s="10" t="n">
        <v>260</v>
      </c>
      <c r="D32" s="9" t="inlineStr">
        <is>
          <t>Google Ads (DataForSEO), monthly</t>
        </is>
      </c>
      <c r="E32" s="9" t="inlineStr">
        <is>
          <t>Hot chicken</t>
        </is>
      </c>
      <c r="F32" s="9" t="inlineStr">
        <is>
          <t>Talabat #1, Wikipedia, Noon, Deliveroo</t>
        </is>
      </c>
      <c r="G32" s="9" t="inlineStr">
        <is>
          <t>not ranking</t>
        </is>
      </c>
      <c r="H32" s="9" t="inlineStr">
        <is>
          <t>Nashville Spicy Hot Chicken (via Talabat)</t>
        </is>
      </c>
      <c r="I32" s="9" t="inlineStr">
        <is>
          <t>/ae/chicken/ (Nashville hot chicken page)</t>
        </is>
      </c>
      <c r="J32" s="9" t="inlineStr">
        <is>
          <t>Page + delivery listings</t>
        </is>
      </c>
      <c r="K32" s="9" t="inlineStr">
        <is>
          <t>P1</t>
        </is>
      </c>
      <c r="L32" s="9" t="inlineStr"/>
    </row>
    <row r="33">
      <c r="A33" s="9" t="inlineStr">
        <is>
          <t>UAE</t>
        </is>
      </c>
      <c r="B33" s="9" t="inlineStr">
        <is>
          <t>nashville hot chicken dubai / nashville chicken dubai</t>
        </is>
      </c>
      <c r="C33" s="10" t="n">
        <v>140</v>
      </c>
      <c r="D33" s="9" t="inlineStr">
        <is>
          <t>Google Ads (DataForSEO), monthly</t>
        </is>
      </c>
      <c r="E33" s="9" t="inlineStr">
        <is>
          <t>Hot chicken</t>
        </is>
      </c>
      <c r="F33" s="9" t="inlineStr">
        <is>
          <t>Not page-checked</t>
        </is>
      </c>
      <c r="G33" s="9" t="inlineStr">
        <is>
          <t>not ranking</t>
        </is>
      </c>
      <c r="H33" s="9" t="inlineStr">
        <is>
          <t>—</t>
        </is>
      </c>
      <c r="I33" s="9" t="inlineStr">
        <is>
          <t>/ae/chicken/</t>
        </is>
      </c>
      <c r="J33" s="9" t="inlineStr">
        <is>
          <t>Page</t>
        </is>
      </c>
      <c r="K33" s="9" t="inlineStr">
        <is>
          <t>P2</t>
        </is>
      </c>
      <c r="L33" s="9" t="inlineStr"/>
    </row>
    <row r="34">
      <c r="A34" s="9" t="inlineStr">
        <is>
          <t>UAE</t>
        </is>
      </c>
      <c r="B34" s="9" t="inlineStr">
        <is>
          <t>fried chicken restaurant</t>
        </is>
      </c>
      <c r="C34" s="10" t="n">
        <v>260</v>
      </c>
      <c r="D34" s="9" t="inlineStr">
        <is>
          <t>Google Ads (DataForSEO), monthly</t>
        </is>
      </c>
      <c r="E34" s="9" t="inlineStr">
        <is>
          <t>Generic</t>
        </is>
      </c>
      <c r="F34" s="9" t="inlineStr">
        <is>
          <t>Restaurants</t>
        </is>
      </c>
      <c r="G34" s="9" t="inlineStr">
        <is>
          <t>#4 (snapshot)</t>
        </is>
      </c>
      <c r="H34" s="9" t="inlineStr">
        <is>
          <t>—</t>
        </is>
      </c>
      <c r="I34" s="9" t="inlineStr">
        <is>
          <t>/ae/chicken/</t>
        </is>
      </c>
      <c r="J34" s="9" t="inlineStr">
        <is>
          <t>Page</t>
        </is>
      </c>
      <c r="K34" s="9" t="inlineStr">
        <is>
          <t>P2</t>
        </is>
      </c>
      <c r="L34" s="9" t="inlineStr"/>
    </row>
    <row r="35">
      <c r="A35" s="9" t="inlineStr">
        <is>
          <t>UAE</t>
        </is>
      </c>
      <c r="B35" s="9" t="inlineStr">
        <is>
          <t>best fried chicken restaurant(s)</t>
        </is>
      </c>
      <c r="C35" s="10" t="n">
        <v>140</v>
      </c>
      <c r="D35" s="9" t="inlineStr">
        <is>
          <t>Google Ads (DataForSEO), monthly</t>
        </is>
      </c>
      <c r="E35" s="9" t="inlineStr">
        <is>
          <t>Generic</t>
        </is>
      </c>
      <c r="F35" s="9" t="inlineStr">
        <is>
          <t>Restaurants</t>
        </is>
      </c>
      <c r="G35" s="9" t="inlineStr">
        <is>
          <t>#4 (snapshot)</t>
        </is>
      </c>
      <c r="H35" s="9" t="inlineStr">
        <is>
          <t>—</t>
        </is>
      </c>
      <c r="I35" s="9" t="inlineStr">
        <is>
          <t>/ae/dubai/</t>
        </is>
      </c>
      <c r="J35" s="9" t="inlineStr">
        <is>
          <t>Page</t>
        </is>
      </c>
      <c r="K35" s="9" t="inlineStr">
        <is>
          <t>P3</t>
        </is>
      </c>
      <c r="L35" s="9" t="inlineStr"/>
    </row>
    <row r="36">
      <c r="A36" s="9" t="inlineStr">
        <is>
          <t>UAE</t>
        </is>
      </c>
      <c r="B36" s="9" t="inlineStr">
        <is>
          <t>mirdif city center restaurants (+ variants)</t>
        </is>
      </c>
      <c r="C36" s="10" t="n">
        <v>5400</v>
      </c>
      <c r="D36" s="9" t="inlineStr">
        <is>
          <t>Google Ads (DataForSEO), monthly</t>
        </is>
      </c>
      <c r="E36" s="9" t="inlineStr">
        <is>
          <t>Mall</t>
        </is>
      </c>
      <c r="F36" s="9" t="inlineStr">
        <is>
          <t>Not page-checked</t>
        </is>
      </c>
      <c r="G36" s="9" t="inlineStr">
        <is>
          <t>GSC avg #50 (homepage ranks, not the venue page)</t>
        </is>
      </c>
      <c r="H36" s="9" t="inlineStr">
        <is>
          <t>Mall directory, TripAdvisor (likely)</t>
        </is>
      </c>
      <c r="I36" s="9" t="inlineStr">
        <is>
          <t>/ae/dubai/mirdif/</t>
        </is>
      </c>
      <c r="J36" s="9" t="inlineStr">
        <is>
          <t>Page + mall directory link</t>
        </is>
      </c>
      <c r="K36" s="9" t="inlineStr">
        <is>
          <t>P1</t>
        </is>
      </c>
      <c r="L36" s="9" t="inlineStr">
        <is>
          <t>Largest single UAE opportunity; check page one</t>
        </is>
      </c>
    </row>
    <row r="37">
      <c r="A37" s="9" t="inlineStr">
        <is>
          <t>UAE</t>
        </is>
      </c>
      <c r="B37" s="9" t="inlineStr">
        <is>
          <t>mirdif city center food court</t>
        </is>
      </c>
      <c r="C37" s="10" t="n">
        <v>480</v>
      </c>
      <c r="D37" s="9" t="inlineStr">
        <is>
          <t>Google Ads (DataForSEO), monthly</t>
        </is>
      </c>
      <c r="E37" s="9" t="inlineStr">
        <is>
          <t>Mall</t>
        </is>
      </c>
      <c r="F37" s="9" t="inlineStr">
        <is>
          <t>Not page-checked</t>
        </is>
      </c>
      <c r="G37" s="9" t="inlineStr">
        <is>
          <t>GSC avg #26</t>
        </is>
      </c>
      <c r="H37" s="9" t="inlineStr">
        <is>
          <t>—</t>
        </is>
      </c>
      <c r="I37" s="9" t="inlineStr">
        <is>
          <t>/ae/dubai/mirdif/</t>
        </is>
      </c>
      <c r="J37" s="9" t="inlineStr">
        <is>
          <t>Page</t>
        </is>
      </c>
      <c r="K37" s="9" t="inlineStr">
        <is>
          <t>P2</t>
        </is>
      </c>
      <c r="L37" s="9" t="inlineStr"/>
    </row>
    <row r="38">
      <c r="A38" s="9" t="inlineStr">
        <is>
          <t>UAE</t>
        </is>
      </c>
      <c r="B38" s="9" t="inlineStr">
        <is>
          <t>city walk restaurants</t>
        </is>
      </c>
      <c r="C38" s="10" t="n">
        <v>253</v>
      </c>
      <c r="D38" s="9" t="inlineStr">
        <is>
          <t>Search Console impressions, 90 days (no Ads volume)</t>
        </is>
      </c>
      <c r="E38" s="9" t="inlineStr">
        <is>
          <t>Mall</t>
        </is>
      </c>
      <c r="F38" s="9" t="inlineStr">
        <is>
          <t>Not page-checked</t>
        </is>
      </c>
      <c r="G38" s="9" t="inlineStr">
        <is>
          <t>GSC avg #37 (homepage ranks)</t>
        </is>
      </c>
      <c r="H38" s="9" t="inlineStr">
        <is>
          <t>—</t>
        </is>
      </c>
      <c r="I38" s="9" t="inlineStr">
        <is>
          <t>/ae/dubai/city-walk/</t>
        </is>
      </c>
      <c r="J38" s="9" t="inlineStr">
        <is>
          <t>Page + mall directory link</t>
        </is>
      </c>
      <c r="K38" s="9" t="inlineStr">
        <is>
          <t>P2</t>
        </is>
      </c>
      <c r="L38" s="9" t="inlineStr"/>
    </row>
    <row r="39">
      <c r="A39" s="9" t="inlineStr">
        <is>
          <t>UAE</t>
        </is>
      </c>
      <c r="B39" s="9" t="inlineStr">
        <is>
          <t>fried chicken</t>
        </is>
      </c>
      <c r="C39" s="10" t="n">
        <v>5400</v>
      </c>
      <c r="D39" s="9" t="inlineStr">
        <is>
          <t>Google Ads (DataForSEO), monthly</t>
        </is>
      </c>
      <c r="E39" s="9" t="inlineStr">
        <is>
          <t>Generic head term</t>
        </is>
      </c>
      <c r="F39" s="9" t="inlineStr">
        <is>
          <t>Recipes (YouTube, food blogs) + Maps pack on top</t>
        </is>
      </c>
      <c r="G39" s="9" t="inlineStr">
        <is>
          <t>GSC avg #10.9</t>
        </is>
      </c>
      <c r="H39" s="9" t="inlineStr">
        <is>
          <t>Recipe sites</t>
        </is>
      </c>
      <c r="I39" s="9" t="inlineStr">
        <is>
          <t>5 UAE Business Profiles</t>
        </is>
      </c>
      <c r="J39" s="9" t="inlineStr">
        <is>
          <t>Business Profile only</t>
        </is>
      </c>
      <c r="K39" s="9" t="inlineStr">
        <is>
          <t>P1</t>
        </is>
      </c>
      <c r="L39" s="9" t="inlineStr">
        <is>
          <t>Restaurant demand is in the Maps pack, not organic</t>
        </is>
      </c>
    </row>
    <row r="40">
      <c r="A40" s="9" t="inlineStr">
        <is>
          <t>UAE</t>
        </is>
      </c>
      <c r="B40" s="9" t="inlineStr">
        <is>
          <t>chicken burger</t>
        </is>
      </c>
      <c r="C40" s="10" t="n">
        <v>1900</v>
      </c>
      <c r="D40" s="9" t="inlineStr">
        <is>
          <t>Google Ads (DataForSEO), monthly</t>
        </is>
      </c>
      <c r="E40" s="9" t="inlineStr">
        <is>
          <t>Generic head term</t>
        </is>
      </c>
      <c r="F40" s="9" t="inlineStr">
        <is>
          <t>Recipes; Bonbird journal #7</t>
        </is>
      </c>
      <c r="G40" s="9" t="inlineStr">
        <is>
          <t>Bonbird journal #7</t>
        </is>
      </c>
      <c r="H40" s="9" t="inlineStr">
        <is>
          <t>Recipe sites</t>
        </is>
      </c>
      <c r="I40" s="9" t="inlineStr">
        <is>
          <t>Business Profiles</t>
        </is>
      </c>
      <c r="J40" s="9" t="inlineStr">
        <is>
          <t>Business Profile only</t>
        </is>
      </c>
      <c r="K40" s="9" t="inlineStr">
        <is>
          <t>P3</t>
        </is>
      </c>
      <c r="L40" s="9" t="inlineStr"/>
    </row>
    <row r="41">
      <c r="A41" s="9" t="inlineStr">
        <is>
          <t>UAE</t>
        </is>
      </c>
      <c r="B41" s="9" t="inlineStr">
        <is>
          <t>chicken tenders</t>
        </is>
      </c>
      <c r="C41" s="10" t="n">
        <v>1600</v>
      </c>
      <c r="D41" s="9" t="inlineStr">
        <is>
          <t>Google Ads (DataForSEO), monthly</t>
        </is>
      </c>
      <c r="E41" s="9" t="inlineStr">
        <is>
          <t>Generic head term</t>
        </is>
      </c>
      <c r="F41" s="9" t="inlineStr">
        <is>
          <t>Recipes</t>
        </is>
      </c>
      <c r="G41" s="9" t="inlineStr">
        <is>
          <t>not ranking</t>
        </is>
      </c>
      <c r="H41" s="9" t="inlineStr">
        <is>
          <t>Recipe sites</t>
        </is>
      </c>
      <c r="I41" s="9" t="inlineStr">
        <is>
          <t>Business Profiles</t>
        </is>
      </c>
      <c r="J41" s="9" t="inlineStr">
        <is>
          <t>Business Profile only</t>
        </is>
      </c>
      <c r="K41" s="9" t="inlineStr">
        <is>
          <t>P3</t>
        </is>
      </c>
      <c r="L41" s="9" t="inlineStr"/>
    </row>
    <row r="42">
      <c r="A42" s="9" t="inlineStr">
        <is>
          <t>UAE</t>
        </is>
      </c>
      <c r="B42" s="9" t="inlineStr">
        <is>
          <t>chicken strips</t>
        </is>
      </c>
      <c r="C42" s="10" t="n">
        <v>2900</v>
      </c>
      <c r="D42" s="9" t="inlineStr">
        <is>
          <t>Google Ads (DataForSEO), monthly</t>
        </is>
      </c>
      <c r="E42" s="9" t="inlineStr">
        <is>
          <t>Generic head term</t>
        </is>
      </c>
      <c r="F42" s="9" t="inlineStr">
        <is>
          <t>Recipes + AI Overview</t>
        </is>
      </c>
      <c r="G42" s="9" t="inlineStr">
        <is>
          <t>not ranking</t>
        </is>
      </c>
      <c r="H42" s="9" t="inlineStr">
        <is>
          <t>Recipe sites, Texas #2 for 'near me'</t>
        </is>
      </c>
      <c r="I42" s="9" t="inlineStr">
        <is>
          <t>Business Profiles</t>
        </is>
      </c>
      <c r="J42" s="9" t="inlineStr">
        <is>
          <t>Business Profile only</t>
        </is>
      </c>
      <c r="K42" s="9" t="inlineStr">
        <is>
          <t>P3</t>
        </is>
      </c>
      <c r="L42" s="9" t="inlineStr"/>
    </row>
    <row r="43">
      <c r="A43" s="9" t="inlineStr">
        <is>
          <t>UAE</t>
        </is>
      </c>
      <c r="B43" s="9" t="inlineStr">
        <is>
          <t>chicken sandwich</t>
        </is>
      </c>
      <c r="C43" s="10" t="n">
        <v>1000</v>
      </c>
      <c r="D43" s="9" t="inlineStr">
        <is>
          <t>Google Ads (DataForSEO), monthly</t>
        </is>
      </c>
      <c r="E43" s="9" t="inlineStr">
        <is>
          <t>Generic head term</t>
        </is>
      </c>
      <c r="F43" s="9" t="inlineStr">
        <is>
          <t>Recipes</t>
        </is>
      </c>
      <c r="G43" s="9" t="inlineStr">
        <is>
          <t>not ranking</t>
        </is>
      </c>
      <c r="H43" s="9" t="inlineStr">
        <is>
          <t>Recipe sites</t>
        </is>
      </c>
      <c r="I43" s="9" t="inlineStr">
        <is>
          <t>Business Profiles</t>
        </is>
      </c>
      <c r="J43" s="9" t="inlineStr">
        <is>
          <t>Business Profile only</t>
        </is>
      </c>
      <c r="K43" s="9" t="inlineStr">
        <is>
          <t>P3</t>
        </is>
      </c>
      <c r="L43" s="9" t="inlineStr"/>
    </row>
    <row r="44">
      <c r="A44" s="9" t="inlineStr">
        <is>
          <t>UAE</t>
        </is>
      </c>
      <c r="B44" s="9" t="inlineStr">
        <is>
          <t>chicken wrap</t>
        </is>
      </c>
      <c r="C44" s="10" t="n">
        <v>590</v>
      </c>
      <c r="D44" s="9" t="inlineStr">
        <is>
          <t>Google Ads (DataForSEO), monthly</t>
        </is>
      </c>
      <c r="E44" s="9" t="inlineStr">
        <is>
          <t>Generic head term</t>
        </is>
      </c>
      <c r="F44" s="9" t="inlineStr">
        <is>
          <t>Recipes</t>
        </is>
      </c>
      <c r="G44" s="9" t="inlineStr">
        <is>
          <t>not ranking</t>
        </is>
      </c>
      <c r="H44" s="9" t="inlineStr">
        <is>
          <t>Recipe sites</t>
        </is>
      </c>
      <c r="I44" s="9" t="inlineStr">
        <is>
          <t>Business Profiles</t>
        </is>
      </c>
      <c r="J44" s="9" t="inlineStr">
        <is>
          <t>Business Profile only</t>
        </is>
      </c>
      <c r="K44" s="9" t="inlineStr">
        <is>
          <t>P3</t>
        </is>
      </c>
      <c r="L44" s="9" t="inlineStr"/>
    </row>
    <row r="45">
      <c r="A45" s="9" t="inlineStr">
        <is>
          <t>UAE</t>
        </is>
      </c>
      <c r="B45" s="9" t="inlineStr">
        <is>
          <t>spicy chicken</t>
        </is>
      </c>
      <c r="C45" s="10" t="n">
        <v>1600</v>
      </c>
      <c r="D45" s="9" t="inlineStr">
        <is>
          <t>Google Ads (DataForSEO), monthly</t>
        </is>
      </c>
      <c r="E45" s="9" t="inlineStr">
        <is>
          <t>Generic head term</t>
        </is>
      </c>
      <c r="F45" s="9" t="inlineStr">
        <is>
          <t>Recipes + rival 'Spicy Fresh Chicken'</t>
        </is>
      </c>
      <c r="G45" s="9" t="inlineStr">
        <is>
          <t>not ranking</t>
        </is>
      </c>
      <c r="H45" s="9" t="inlineStr">
        <is>
          <t>—</t>
        </is>
      </c>
      <c r="I45" s="9" t="inlineStr">
        <is>
          <t>Business Profiles</t>
        </is>
      </c>
      <c r="J45" s="9" t="inlineStr">
        <is>
          <t>Business Profile only</t>
        </is>
      </c>
      <c r="K45" s="9" t="inlineStr">
        <is>
          <t>P3</t>
        </is>
      </c>
      <c r="L45" s="9" t="inlineStr"/>
    </row>
    <row r="46">
      <c r="A46" s="9" t="inlineStr">
        <is>
          <t>UAE</t>
        </is>
      </c>
      <c r="B46" s="9" t="inlineStr">
        <is>
          <t>chicken salt</t>
        </is>
      </c>
      <c r="C46" s="10" t="n">
        <v>170</v>
      </c>
      <c r="D46" s="9" t="inlineStr">
        <is>
          <t>Google Ads (DataForSEO), monthly</t>
        </is>
      </c>
      <c r="E46" s="9" t="inlineStr">
        <is>
          <t>Flavour</t>
        </is>
      </c>
      <c r="F46" s="9" t="inlineStr">
        <is>
          <t>Australian recipe/explainer sites + AI Overview</t>
        </is>
      </c>
      <c r="G46" s="9" t="inlineStr">
        <is>
          <t>Bonbird journal #7.6</t>
        </is>
      </c>
      <c r="H46" s="9" t="inlineStr">
        <is>
          <t>—</t>
        </is>
      </c>
      <c r="I46" s="9" t="inlineStr">
        <is>
          <t>Existing journal post</t>
        </is>
      </c>
      <c r="J46" s="9" t="inlineStr">
        <is>
          <t>Brand content</t>
        </is>
      </c>
      <c r="K46" s="9" t="inlineStr">
        <is>
          <t>P3</t>
        </is>
      </c>
      <c r="L46" s="9" t="inlineStr">
        <is>
          <t>Distinctive flavour; low commercial value</t>
        </is>
      </c>
    </row>
    <row r="47">
      <c r="A47" s="9" t="inlineStr">
        <is>
          <t>UAE</t>
        </is>
      </c>
      <c r="B47" s="9" t="inlineStr">
        <is>
          <t>best burger in dubai</t>
        </is>
      </c>
      <c r="C47" s="10" t="n">
        <v>4400</v>
      </c>
      <c r="D47" s="9" t="inlineStr">
        <is>
          <t>Google Ads (DataForSEO), monthly</t>
        </is>
      </c>
      <c r="E47" s="9" t="inlineStr">
        <is>
          <t>Burger</t>
        </is>
      </c>
      <c r="F47" s="9" t="inlineStr">
        <is>
          <t>Not page-checked</t>
        </is>
      </c>
      <c r="G47" s="9" t="inlineStr">
        <is>
          <t>not ranking</t>
        </is>
      </c>
      <c r="H47" s="9" t="inlineStr">
        <is>
          <t>Burger specialists</t>
        </is>
      </c>
      <c r="I47" s="9" t="inlineStr">
        <is>
          <t>/ae/chicken-burger/</t>
        </is>
      </c>
      <c r="J47" s="9" t="inlineStr">
        <is>
          <t>Page</t>
        </is>
      </c>
      <c r="K47" s="9" t="inlineStr">
        <is>
          <t>P3</t>
        </is>
      </c>
      <c r="L47" s="9" t="inlineStr">
        <is>
          <t>Secondary — Bonbird is a chicken brand</t>
        </is>
      </c>
    </row>
    <row r="48">
      <c r="A48" s="9" t="inlineStr">
        <is>
          <t>Pakistan</t>
        </is>
      </c>
      <c r="B48" s="9" t="inlineStr">
        <is>
          <t>johar town restaurants (+ 'restaurants in johar town lahore')</t>
        </is>
      </c>
      <c r="C48" s="10" t="n">
        <v>14800</v>
      </c>
      <c r="D48" s="9" t="inlineStr">
        <is>
          <t>Google Ads (DataForSEO), monthly</t>
        </is>
      </c>
      <c r="E48" s="9" t="inlineStr">
        <is>
          <t>Area: Johar Town</t>
        </is>
      </c>
      <c r="F48" s="9" t="inlineStr">
        <is>
          <t>Lists (TripAdvisor), Instagram, Facebook + Maps pack</t>
        </is>
      </c>
      <c r="G48" s="9" t="inlineStr">
        <is>
          <t>GSC avg #25.6</t>
        </is>
      </c>
      <c r="H48" s="9" t="inlineStr">
        <is>
          <t>MAST (Instagram), TripAdvisor</t>
        </is>
      </c>
      <c r="I48" s="9" t="inlineStr">
        <is>
          <t>Johar Town Business Profile + /pk/lahore/johar-town/ + lists</t>
        </is>
      </c>
      <c r="J48" s="9" t="inlineStr">
        <is>
          <t>Business Profile + list outreach + page</t>
        </is>
      </c>
      <c r="K48" s="9" t="inlineStr">
        <is>
          <t>P1</t>
        </is>
      </c>
      <c r="L48" s="9" t="inlineStr">
        <is>
          <t>Partner owns the Business Profile — need manager access</t>
        </is>
      </c>
    </row>
    <row r="49">
      <c r="A49" s="9" t="inlineStr">
        <is>
          <t>Pakistan</t>
        </is>
      </c>
      <c r="B49" s="9" t="inlineStr">
        <is>
          <t>gulberg restaurants</t>
        </is>
      </c>
      <c r="C49" s="10" t="n">
        <v>12100</v>
      </c>
      <c r="D49" s="9" t="inlineStr">
        <is>
          <t>Google Ads (DataForSEO), monthly</t>
        </is>
      </c>
      <c r="E49" s="9" t="inlineStr">
        <is>
          <t>Area: Gulberg</t>
        </is>
      </c>
      <c r="F49" s="9" t="inlineStr">
        <is>
          <t>Lists: TripAdvisor, foodpanda 'best in Gulberg', Reddit, blogs (Indigo Heights, The Carnivore) + Maps pack</t>
        </is>
      </c>
      <c r="G49" s="9" t="inlineStr">
        <is>
          <t>not ranking</t>
        </is>
      </c>
      <c r="H49" s="9" t="inlineStr">
        <is>
          <t>Lists and blogs</t>
        </is>
      </c>
      <c r="I49" s="9" t="inlineStr">
        <is>
          <t>Gulberg Business Profile + /pk/lahore/cue-cinemas/ + lists</t>
        </is>
      </c>
      <c r="J49" s="9" t="inlineStr">
        <is>
          <t>Business Profile + list outreach + page</t>
        </is>
      </c>
      <c r="K49" s="9" t="inlineStr">
        <is>
          <t>P1</t>
        </is>
      </c>
      <c r="L49" s="9" t="inlineStr"/>
    </row>
    <row r="50">
      <c r="A50" s="9" t="inlineStr">
        <is>
          <t>Pakistan</t>
        </is>
      </c>
      <c r="B50" s="9" t="inlineStr">
        <is>
          <t>restaurants in gulberg lahore</t>
        </is>
      </c>
      <c r="C50" s="10" t="n">
        <v>5400</v>
      </c>
      <c r="D50" s="9" t="inlineStr">
        <is>
          <t>Google Ads (DataForSEO), monthly</t>
        </is>
      </c>
      <c r="E50" s="9" t="inlineStr">
        <is>
          <t>Area: Gulberg</t>
        </is>
      </c>
      <c r="F50" s="9" t="inlineStr">
        <is>
          <t>Same cluster</t>
        </is>
      </c>
      <c r="G50" s="9" t="inlineStr">
        <is>
          <t>not ranking</t>
        </is>
      </c>
      <c r="H50" s="9" t="inlineStr">
        <is>
          <t>Lists</t>
        </is>
      </c>
      <c r="I50" s="9" t="inlineStr">
        <is>
          <t>Gulberg venue</t>
        </is>
      </c>
      <c r="J50" s="9" t="inlineStr">
        <is>
          <t>Business Profile + list outreach + page</t>
        </is>
      </c>
      <c r="K50" s="9" t="inlineStr">
        <is>
          <t>P1</t>
        </is>
      </c>
      <c r="L50" s="9" t="inlineStr"/>
    </row>
    <row r="51">
      <c r="A51" s="9" t="inlineStr">
        <is>
          <t>Pakistan</t>
        </is>
      </c>
      <c r="B51" s="9" t="inlineStr">
        <is>
          <t>fast food in gulberg (+ variants)</t>
        </is>
      </c>
      <c r="C51" s="10" t="n">
        <v>260</v>
      </c>
      <c r="D51" s="9" t="inlineStr">
        <is>
          <t>Google Ads (DataForSEO), monthly</t>
        </is>
      </c>
      <c r="E51" s="9" t="inlineStr">
        <is>
          <t>Area: Gulberg</t>
        </is>
      </c>
      <c r="F51" s="9" t="inlineStr">
        <is>
          <t>Not page-checked</t>
        </is>
      </c>
      <c r="G51" s="9" t="inlineStr">
        <is>
          <t>GSC avg #18.4</t>
        </is>
      </c>
      <c r="H51" s="9" t="inlineStr">
        <is>
          <t>—</t>
        </is>
      </c>
      <c r="I51" s="9" t="inlineStr">
        <is>
          <t>/pk/lahore/cue-cinemas/</t>
        </is>
      </c>
      <c r="J51" s="9" t="inlineStr">
        <is>
          <t>Page (title)</t>
        </is>
      </c>
      <c r="K51" s="9" t="inlineStr">
        <is>
          <t>P1</t>
        </is>
      </c>
      <c r="L51" s="9" t="inlineStr">
        <is>
          <t>Realistic organic win for the venue page</t>
        </is>
      </c>
    </row>
    <row r="52">
      <c r="A52" s="9" t="inlineStr">
        <is>
          <t>Pakistan</t>
        </is>
      </c>
      <c r="B52" s="9" t="inlineStr">
        <is>
          <t>dha restaurants</t>
        </is>
      </c>
      <c r="C52" s="10" t="n">
        <v>9900</v>
      </c>
      <c r="D52" s="9" t="inlineStr">
        <is>
          <t>Google Ads (DataForSEO), monthly</t>
        </is>
      </c>
      <c r="E52" s="9" t="inlineStr">
        <is>
          <t>Area: DHA</t>
        </is>
      </c>
      <c r="F52" s="9" t="inlineStr">
        <is>
          <t>Lists, real-estate guides, Instagram (mixed Lahore + Karachi) + Maps pack</t>
        </is>
      </c>
      <c r="G52" s="9" t="inlineStr">
        <is>
          <t>not ranking</t>
        </is>
      </c>
      <c r="H52" s="9" t="inlineStr">
        <is>
          <t>Lists</t>
        </is>
      </c>
      <c r="I52" s="9" t="inlineStr">
        <is>
          <t>Dolmen Mall Business Profile + /pk/lahore/dolmen-mall/</t>
        </is>
      </c>
      <c r="J52" s="9" t="inlineStr">
        <is>
          <t>Business Profile + list outreach + page</t>
        </is>
      </c>
      <c r="K52" s="9" t="inlineStr">
        <is>
          <t>P1</t>
        </is>
      </c>
      <c r="L52" s="9" t="inlineStr"/>
    </row>
    <row r="53">
      <c r="A53" s="9" t="inlineStr">
        <is>
          <t>Pakistan</t>
        </is>
      </c>
      <c r="B53" s="9" t="inlineStr">
        <is>
          <t>restaurants in dha lahore / dha lahore restaurants</t>
        </is>
      </c>
      <c r="C53" s="10" t="n">
        <v>1900</v>
      </c>
      <c r="D53" s="9" t="inlineStr">
        <is>
          <t>Google Ads (DataForSEO), monthly</t>
        </is>
      </c>
      <c r="E53" s="9" t="inlineStr">
        <is>
          <t>Area: DHA</t>
        </is>
      </c>
      <c r="F53" s="9" t="inlineStr">
        <is>
          <t>Not page-checked</t>
        </is>
      </c>
      <c r="G53" s="9" t="inlineStr">
        <is>
          <t>not ranking</t>
        </is>
      </c>
      <c r="H53" s="9" t="inlineStr">
        <is>
          <t>—</t>
        </is>
      </c>
      <c r="I53" s="9" t="inlineStr">
        <is>
          <t>/pk/lahore/dolmen-mall/</t>
        </is>
      </c>
      <c r="J53" s="9" t="inlineStr">
        <is>
          <t>Page</t>
        </is>
      </c>
      <c r="K53" s="9" t="inlineStr">
        <is>
          <t>P2</t>
        </is>
      </c>
      <c r="L53" s="9" t="inlineStr"/>
    </row>
    <row r="54">
      <c r="A54" s="9" t="inlineStr">
        <is>
          <t>Pakistan</t>
        </is>
      </c>
      <c r="B54" s="9" t="inlineStr">
        <is>
          <t>dolmen mall restaurants (+ variants)</t>
        </is>
      </c>
      <c r="C54" s="10" t="n">
        <v>1000</v>
      </c>
      <c r="D54" s="9" t="inlineStr">
        <is>
          <t>Google Ads (DataForSEO), monthly</t>
        </is>
      </c>
      <c r="E54" s="9" t="inlineStr">
        <is>
          <t>Mall: Dolmen</t>
        </is>
      </c>
      <c r="F54" s="9" t="inlineStr">
        <is>
          <t>Not page-checked</t>
        </is>
      </c>
      <c r="G54" s="9" t="inlineStr">
        <is>
          <t>GSC avg #14–17</t>
        </is>
      </c>
      <c r="H54" s="9" t="inlineStr">
        <is>
          <t>—</t>
        </is>
      </c>
      <c r="I54" s="9" t="inlineStr">
        <is>
          <t>/pk/lahore/dolmen-mall/</t>
        </is>
      </c>
      <c r="J54" s="9" t="inlineStr">
        <is>
          <t>Page (title) + mall directory link</t>
        </is>
      </c>
      <c r="K54" s="9" t="inlineStr">
        <is>
          <t>P1</t>
        </is>
      </c>
      <c r="L54" s="9" t="inlineStr"/>
    </row>
    <row r="55">
      <c r="A55" s="9" t="inlineStr">
        <is>
          <t>Pakistan</t>
        </is>
      </c>
      <c r="B55" s="9" t="inlineStr">
        <is>
          <t>restaurants in lahore</t>
        </is>
      </c>
      <c r="C55" s="10" t="n">
        <v>27100</v>
      </c>
      <c r="D55" s="9" t="inlineStr">
        <is>
          <t>Google Ads (DataForSEO), monthly</t>
        </is>
      </c>
      <c r="E55" s="9" t="inlineStr">
        <is>
          <t>Lahore</t>
        </is>
      </c>
      <c r="F55" s="9" t="inlineStr">
        <is>
          <t>Travel/food guides, Wikipedia, lists</t>
        </is>
      </c>
      <c r="G55" s="9" t="inlineStr">
        <is>
          <t>not ranking</t>
        </is>
      </c>
      <c r="H55" s="9" t="inlineStr">
        <is>
          <t>Guides</t>
        </is>
      </c>
      <c r="I55" s="9" t="inlineStr">
        <is>
          <t>/pk/lahore/ via list outreach</t>
        </is>
      </c>
      <c r="J55" s="9" t="inlineStr">
        <is>
          <t>List outreach</t>
        </is>
      </c>
      <c r="K55" s="9" t="inlineStr">
        <is>
          <t>P3</t>
        </is>
      </c>
      <c r="L55" s="9" t="inlineStr">
        <is>
          <t>Too broad for a page to win</t>
        </is>
      </c>
    </row>
    <row r="56">
      <c r="A56" s="9" t="inlineStr">
        <is>
          <t>Pakistan</t>
        </is>
      </c>
      <c r="B56" s="9" t="inlineStr">
        <is>
          <t>best restaurants in lahore</t>
        </is>
      </c>
      <c r="C56" s="10" t="n">
        <v>14800</v>
      </c>
      <c r="D56" s="9" t="inlineStr">
        <is>
          <t>Google Ads (DataForSEO), monthly</t>
        </is>
      </c>
      <c r="E56" s="9" t="inlineStr">
        <is>
          <t>Lahore</t>
        </is>
      </c>
      <c r="F56" s="9" t="inlineStr">
        <is>
          <t>Lists</t>
        </is>
      </c>
      <c r="G56" s="9" t="inlineStr">
        <is>
          <t>not ranking</t>
        </is>
      </c>
      <c r="H56" s="9" t="inlineStr">
        <is>
          <t>Guides</t>
        </is>
      </c>
      <c r="I56" s="9" t="inlineStr">
        <is>
          <t>List outreach</t>
        </is>
      </c>
      <c r="J56" s="9" t="inlineStr">
        <is>
          <t>List outreach</t>
        </is>
      </c>
      <c r="K56" s="9" t="inlineStr">
        <is>
          <t>P3</t>
        </is>
      </c>
      <c r="L56" s="9" t="inlineStr"/>
    </row>
    <row r="57">
      <c r="A57" s="9" t="inlineStr">
        <is>
          <t>Pakistan</t>
        </is>
      </c>
      <c r="B57" s="9" t="inlineStr">
        <is>
          <t>fast food lahore</t>
        </is>
      </c>
      <c r="C57" s="10" t="n">
        <v>1900</v>
      </c>
      <c r="D57" s="9" t="inlineStr">
        <is>
          <t>Google Ads (DataForSEO), monthly</t>
        </is>
      </c>
      <c r="E57" s="9" t="inlineStr">
        <is>
          <t>Lahore</t>
        </is>
      </c>
      <c r="F57" s="9" t="inlineStr">
        <is>
          <t>Not page-checked</t>
        </is>
      </c>
      <c r="G57" s="9" t="inlineStr">
        <is>
          <t>not ranking</t>
        </is>
      </c>
      <c r="H57" s="9" t="inlineStr">
        <is>
          <t>—</t>
        </is>
      </c>
      <c r="I57" s="9" t="inlineStr">
        <is>
          <t>/pk/lahore/</t>
        </is>
      </c>
      <c r="J57" s="9" t="inlineStr">
        <is>
          <t>Page</t>
        </is>
      </c>
      <c r="K57" s="9" t="inlineStr">
        <is>
          <t>P2</t>
        </is>
      </c>
      <c r="L57" s="9" t="inlineStr"/>
    </row>
    <row r="58">
      <c r="A58" s="9" t="inlineStr">
        <is>
          <t>Pakistan</t>
        </is>
      </c>
      <c r="B58" s="9" t="inlineStr">
        <is>
          <t>fried chicken lahore</t>
        </is>
      </c>
      <c r="C58" s="10" t="n">
        <v>170</v>
      </c>
      <c r="D58" s="9" t="inlineStr">
        <is>
          <t>Google Ads (DataForSEO), monthly</t>
        </is>
      </c>
      <c r="E58" s="9" t="inlineStr">
        <is>
          <t>Lahore</t>
        </is>
      </c>
      <c r="F58" s="9" t="inlineStr">
        <is>
          <t>Not page-checked</t>
        </is>
      </c>
      <c r="G58" s="9" t="inlineStr">
        <is>
          <t>GSC avg #8.7</t>
        </is>
      </c>
      <c r="H58" s="9" t="inlineStr">
        <is>
          <t>KD 4 (easy)</t>
        </is>
      </c>
      <c r="I58" s="9" t="inlineStr">
        <is>
          <t>/pk/lahore/</t>
        </is>
      </c>
      <c r="J58" s="9" t="inlineStr">
        <is>
          <t>Page (title)</t>
        </is>
      </c>
      <c r="K58" s="9" t="inlineStr">
        <is>
          <t>P1</t>
        </is>
      </c>
      <c r="L58" s="9" t="inlineStr"/>
    </row>
    <row r="59">
      <c r="A59" s="9" t="inlineStr">
        <is>
          <t>Pakistan</t>
        </is>
      </c>
      <c r="B59" s="9" t="inlineStr">
        <is>
          <t>best fried chicken in lahore</t>
        </is>
      </c>
      <c r="C59" s="10" t="n">
        <v>70</v>
      </c>
      <c r="D59" s="9" t="inlineStr">
        <is>
          <t>Google Ads (DataForSEO), monthly</t>
        </is>
      </c>
      <c r="E59" s="9" t="inlineStr">
        <is>
          <t>Lahore</t>
        </is>
      </c>
      <c r="F59" s="9" t="inlineStr">
        <is>
          <t>Not page-checked</t>
        </is>
      </c>
      <c r="G59" s="9" t="inlineStr">
        <is>
          <t>GSC avg #7.0</t>
        </is>
      </c>
      <c r="H59" s="9" t="inlineStr">
        <is>
          <t>KD 55 (hard)</t>
        </is>
      </c>
      <c r="I59" s="9" t="inlineStr">
        <is>
          <t>/pk/lahore/</t>
        </is>
      </c>
      <c r="J59" s="9" t="inlineStr">
        <is>
          <t>Page</t>
        </is>
      </c>
      <c r="K59" s="9" t="inlineStr">
        <is>
          <t>P2</t>
        </is>
      </c>
      <c r="L59" s="9" t="inlineStr"/>
    </row>
    <row r="60">
      <c r="A60" s="9" t="inlineStr">
        <is>
          <t>Pakistan</t>
        </is>
      </c>
      <c r="B60" s="9" t="inlineStr">
        <is>
          <t>best burger in lahore</t>
        </is>
      </c>
      <c r="C60" s="10" t="n">
        <v>2400</v>
      </c>
      <c r="D60" s="9" t="inlineStr">
        <is>
          <t>Google Ads (DataForSEO), monthly</t>
        </is>
      </c>
      <c r="E60" s="9" t="inlineStr">
        <is>
          <t>Burger</t>
        </is>
      </c>
      <c r="F60" s="9" t="inlineStr">
        <is>
          <t>foodpanda, Instagram, Reddit, Facebook</t>
        </is>
      </c>
      <c r="G60" s="9" t="inlineStr">
        <is>
          <t>not ranking</t>
        </is>
      </c>
      <c r="H60" s="9" t="inlineStr">
        <is>
          <t>foodpanda listings</t>
        </is>
      </c>
      <c r="I60" s="9" t="inlineStr">
        <is>
          <t>Burger product page (draft #47015 exists)</t>
        </is>
      </c>
      <c r="J60" s="9" t="inlineStr">
        <is>
          <t>Page + foodpanda listing</t>
        </is>
      </c>
      <c r="K60" s="9" t="inlineStr">
        <is>
          <t>P2</t>
        </is>
      </c>
      <c r="L60" s="9" t="inlineStr">
        <is>
          <t>Draft page already in WordPress</t>
        </is>
      </c>
    </row>
    <row r="61">
      <c r="A61" s="9" t="inlineStr">
        <is>
          <t>Pakistan</t>
        </is>
      </c>
      <c r="B61" s="9" t="inlineStr">
        <is>
          <t>fried chicken near me</t>
        </is>
      </c>
      <c r="C61" s="10" t="n">
        <v>1600</v>
      </c>
      <c r="D61" s="9" t="inlineStr">
        <is>
          <t>Google Ads (DataForSEO), monthly</t>
        </is>
      </c>
      <c r="E61" s="9" t="inlineStr">
        <is>
          <t>Near me</t>
        </is>
      </c>
      <c r="F61" s="9" t="inlineStr">
        <is>
          <t>Maps pack</t>
        </is>
      </c>
      <c r="G61" s="9" t="inlineStr">
        <is>
          <t>GSC avg #9.4</t>
        </is>
      </c>
      <c r="H61" s="9" t="inlineStr">
        <is>
          <t>Kababjees #1, KFC #5</t>
        </is>
      </c>
      <c r="I61" s="9" t="inlineStr">
        <is>
          <t>3 Lahore Business Profiles</t>
        </is>
      </c>
      <c r="J61" s="9" t="inlineStr">
        <is>
          <t>Business Profile</t>
        </is>
      </c>
      <c r="K61" s="9" t="inlineStr">
        <is>
          <t>P1</t>
        </is>
      </c>
      <c r="L61" s="9" t="inlineStr"/>
    </row>
    <row r="62">
      <c r="A62" s="9" t="inlineStr">
        <is>
          <t>Pakistan</t>
        </is>
      </c>
      <c r="B62" s="9" t="inlineStr">
        <is>
          <t>fried chicken</t>
        </is>
      </c>
      <c r="C62" s="10" t="n">
        <v>3600</v>
      </c>
      <c r="D62" s="9" t="inlineStr">
        <is>
          <t>Google Ads (DataForSEO), monthly</t>
        </is>
      </c>
      <c r="E62" s="9" t="inlineStr">
        <is>
          <t>Generic head term</t>
        </is>
      </c>
      <c r="F62" s="9" t="inlineStr">
        <is>
          <t>YouTube recipes + Maps pack</t>
        </is>
      </c>
      <c r="G62" s="9" t="inlineStr">
        <is>
          <t>not ranking</t>
        </is>
      </c>
      <c r="H62" s="9" t="inlineStr">
        <is>
          <t>Kababjees (national leader)</t>
        </is>
      </c>
      <c r="I62" s="9" t="inlineStr">
        <is>
          <t>Business Profiles</t>
        </is>
      </c>
      <c r="J62" s="9" t="inlineStr">
        <is>
          <t>Business Profile only</t>
        </is>
      </c>
      <c r="K62" s="9" t="inlineStr">
        <is>
          <t>P2</t>
        </is>
      </c>
      <c r="L62" s="9" t="inlineStr"/>
    </row>
    <row r="63">
      <c r="A63" s="9" t="inlineStr">
        <is>
          <t>Pakistan</t>
        </is>
      </c>
      <c r="B63" s="9" t="inlineStr">
        <is>
          <t>midnight deals lahore / food deals lahore</t>
        </is>
      </c>
      <c r="C63" s="10" t="n">
        <v>530</v>
      </c>
      <c r="D63" s="9" t="inlineStr">
        <is>
          <t>Google Ads (DataForSEO), monthly</t>
        </is>
      </c>
      <c r="E63" s="9" t="inlineStr">
        <is>
          <t>Deals</t>
        </is>
      </c>
      <c r="F63" s="9" t="inlineStr">
        <is>
          <t>Kababjees deal pages rank</t>
        </is>
      </c>
      <c r="G63" s="9" t="inlineStr">
        <is>
          <t>not ranking</t>
        </is>
      </c>
      <c r="H63" s="9" t="inlineStr">
        <is>
          <t>Kababjees, KFC</t>
        </is>
      </c>
      <c r="I63" s="9" t="inlineStr">
        <is>
          <t>Deals page (only if Bonbird runs deals)</t>
        </is>
      </c>
      <c r="J63" s="9" t="inlineStr">
        <is>
          <t>Page</t>
        </is>
      </c>
      <c r="K63" s="9" t="inlineStr">
        <is>
          <t>P3</t>
        </is>
      </c>
      <c r="L63" s="9" t="inlineStr">
        <is>
          <t>Pakistan search is deal-driven — decide if relevant</t>
        </is>
      </c>
    </row>
    <row r="64">
      <c r="A64" s="9" t="inlineStr">
        <is>
          <t>Oman</t>
        </is>
      </c>
      <c r="B64" s="9" t="inlineStr">
        <is>
          <t>fried chicken near me</t>
        </is>
      </c>
      <c r="C64" s="10" t="n">
        <v>720</v>
      </c>
      <c r="D64" s="9" t="inlineStr">
        <is>
          <t>Google Ads (DataForSEO), monthly</t>
        </is>
      </c>
      <c r="E64" s="9" t="inlineStr">
        <is>
          <t>Near me</t>
        </is>
      </c>
      <c r="F64" s="9" t="inlineStr">
        <is>
          <t>Maps pack: Chikarro, Frispy, Fry Chicks</t>
        </is>
      </c>
      <c r="G64" s="9" t="inlineStr">
        <is>
          <t>GSC avg #7.2</t>
        </is>
      </c>
      <c r="H64" s="9" t="inlineStr">
        <is>
          <t>Local chains via Maps</t>
        </is>
      </c>
      <c r="I64" s="9" t="inlineStr">
        <is>
          <t>2 Oman Business Profiles</t>
        </is>
      </c>
      <c r="J64" s="9" t="inlineStr">
        <is>
          <t>Business Profile</t>
        </is>
      </c>
      <c r="K64" s="9" t="inlineStr">
        <is>
          <t>P1</t>
        </is>
      </c>
      <c r="L64" s="9" t="inlineStr">
        <is>
          <t>Partner owns the profiles — need manager access</t>
        </is>
      </c>
    </row>
    <row r="65">
      <c r="A65" s="9" t="inlineStr">
        <is>
          <t>Oman</t>
        </is>
      </c>
      <c r="B65" s="9" t="inlineStr">
        <is>
          <t>fried chicken</t>
        </is>
      </c>
      <c r="C65" s="10" t="n">
        <v>880</v>
      </c>
      <c r="D65" s="9" t="inlineStr">
        <is>
          <t>Google Ads (DataForSEO), monthly</t>
        </is>
      </c>
      <c r="E65" s="9" t="inlineStr">
        <is>
          <t>Generic head term</t>
        </is>
      </c>
      <c r="F65" s="9" t="inlineStr">
        <is>
          <t>Not page-checked</t>
        </is>
      </c>
      <c r="G65" s="9" t="inlineStr">
        <is>
          <t>GSC avg #9.5</t>
        </is>
      </c>
      <c r="H65" s="9" t="inlineStr">
        <is>
          <t>—</t>
        </is>
      </c>
      <c r="I65" s="9" t="inlineStr">
        <is>
          <t>Business Profiles</t>
        </is>
      </c>
      <c r="J65" s="9" t="inlineStr">
        <is>
          <t>Business Profile</t>
        </is>
      </c>
      <c r="K65" s="9" t="inlineStr">
        <is>
          <t>P2</t>
        </is>
      </c>
      <c r="L65" s="9" t="inlineStr"/>
    </row>
    <row r="66">
      <c r="A66" s="9" t="inlineStr">
        <is>
          <t>Oman</t>
        </is>
      </c>
      <c r="B66" s="9" t="inlineStr">
        <is>
          <t>chicken near me</t>
        </is>
      </c>
      <c r="C66" s="10" t="n">
        <v>590</v>
      </c>
      <c r="D66" s="9" t="inlineStr">
        <is>
          <t>Google Ads (DataForSEO), monthly</t>
        </is>
      </c>
      <c r="E66" s="9" t="inlineStr">
        <is>
          <t>Near me</t>
        </is>
      </c>
      <c r="F66" s="9" t="inlineStr">
        <is>
          <t>Maps pack</t>
        </is>
      </c>
      <c r="G66" s="9" t="inlineStr">
        <is>
          <t>GSC avg #56</t>
        </is>
      </c>
      <c r="H66" s="9" t="inlineStr">
        <is>
          <t>—</t>
        </is>
      </c>
      <c r="I66" s="9" t="inlineStr">
        <is>
          <t>Business Profiles</t>
        </is>
      </c>
      <c r="J66" s="9" t="inlineStr">
        <is>
          <t>Business Profile</t>
        </is>
      </c>
      <c r="K66" s="9" t="inlineStr">
        <is>
          <t>P2</t>
        </is>
      </c>
      <c r="L66" s="9" t="inlineStr"/>
    </row>
    <row r="67">
      <c r="A67" s="9" t="inlineStr">
        <is>
          <t>Oman</t>
        </is>
      </c>
      <c r="B67" s="9" t="inlineStr">
        <is>
          <t>fried chicken muscat</t>
        </is>
      </c>
      <c r="C67" s="10" t="n">
        <v>70</v>
      </c>
      <c r="D67" s="9" t="inlineStr">
        <is>
          <t>Google Ads (DataForSEO), monthly</t>
        </is>
      </c>
      <c r="E67" s="9" t="inlineStr">
        <is>
          <t>Muscat</t>
        </is>
      </c>
      <c r="F67" s="9" t="inlineStr">
        <is>
          <t>Bonbird #1 organic on live check; Maps: Fried Bowl, MFC, Fry Chicks</t>
        </is>
      </c>
      <c r="G67" s="9" t="inlineStr">
        <is>
          <t>GSC avg #9.0 · #1 live</t>
        </is>
      </c>
      <c r="H67" s="9" t="inlineStr">
        <is>
          <t>Local chains with no websites</t>
        </is>
      </c>
      <c r="I67" s="9" t="inlineStr">
        <is>
          <t>/om/muscat/</t>
        </is>
      </c>
      <c r="J67" s="9" t="inlineStr">
        <is>
          <t>Page (title)</t>
        </is>
      </c>
      <c r="K67" s="9" t="inlineStr">
        <is>
          <t>P2</t>
        </is>
      </c>
      <c r="L67" s="9" t="inlineStr">
        <is>
          <t>Already winning organically</t>
        </is>
      </c>
    </row>
    <row r="68">
      <c r="A68" s="9" t="inlineStr">
        <is>
          <t>Oman</t>
        </is>
      </c>
      <c r="B68" s="9" t="inlineStr">
        <is>
          <t>best fried chicken in muscat</t>
        </is>
      </c>
      <c r="C68" s="10" t="n">
        <v>50</v>
      </c>
      <c r="D68" s="9" t="inlineStr">
        <is>
          <t>Google Ads (DataForSEO), monthly</t>
        </is>
      </c>
      <c r="E68" s="9" t="inlineStr">
        <is>
          <t>Muscat</t>
        </is>
      </c>
      <c r="F68" s="9" t="inlineStr">
        <is>
          <t>Not page-checked</t>
        </is>
      </c>
      <c r="G68" s="9" t="inlineStr">
        <is>
          <t>GSC avg #7.5</t>
        </is>
      </c>
      <c r="H68" s="9" t="inlineStr">
        <is>
          <t>—</t>
        </is>
      </c>
      <c r="I68" s="9" t="inlineStr">
        <is>
          <t>/om/muscat/</t>
        </is>
      </c>
      <c r="J68" s="9" t="inlineStr">
        <is>
          <t>Page</t>
        </is>
      </c>
      <c r="K68" s="9" t="inlineStr">
        <is>
          <t>P2</t>
        </is>
      </c>
      <c r="L68" s="9" t="inlineStr"/>
    </row>
    <row r="69">
      <c r="A69" s="9" t="inlineStr">
        <is>
          <t>Oman</t>
        </is>
      </c>
      <c r="B69" s="9" t="inlineStr">
        <is>
          <t>best fried chicken in oman</t>
        </is>
      </c>
      <c r="C69" s="10" t="n">
        <v>30</v>
      </c>
      <c r="D69" s="9" t="inlineStr">
        <is>
          <t>Google Ads (DataForSEO), monthly</t>
        </is>
      </c>
      <c r="E69" s="9" t="inlineStr">
        <is>
          <t>Oman</t>
        </is>
      </c>
      <c r="F69" s="9" t="inlineStr">
        <is>
          <t>Bonbird #1 organic on live check</t>
        </is>
      </c>
      <c r="G69" s="9" t="inlineStr">
        <is>
          <t>GSC avg #6.9 · #1 live</t>
        </is>
      </c>
      <c r="H69" s="9" t="inlineStr">
        <is>
          <t>—</t>
        </is>
      </c>
      <c r="I69" s="9" t="inlineStr">
        <is>
          <t>/om/</t>
        </is>
      </c>
      <c r="J69" s="9" t="inlineStr">
        <is>
          <t>Page</t>
        </is>
      </c>
      <c r="K69" s="9" t="inlineStr">
        <is>
          <t>P3</t>
        </is>
      </c>
      <c r="L69" s="9" t="inlineStr">
        <is>
          <t>Already winning</t>
        </is>
      </c>
    </row>
    <row r="70">
      <c r="A70" s="9" t="inlineStr">
        <is>
          <t>Oman</t>
        </is>
      </c>
      <c r="B70" s="9" t="inlineStr">
        <is>
          <t>restaurants in seeb</t>
        </is>
      </c>
      <c r="C70" s="10" t="n">
        <v>390</v>
      </c>
      <c r="D70" s="9" t="inlineStr">
        <is>
          <t>Google Ads (DataForSEO), monthly</t>
        </is>
      </c>
      <c r="E70" s="9" t="inlineStr">
        <is>
          <t>Area: Seeb</t>
        </is>
      </c>
      <c r="F70" s="9" t="inlineStr">
        <is>
          <t>Not page-checked</t>
        </is>
      </c>
      <c r="G70" s="9" t="inlineStr">
        <is>
          <t>not ranking</t>
        </is>
      </c>
      <c r="H70" s="9" t="inlineStr">
        <is>
          <t>—</t>
        </is>
      </c>
      <c r="I70" s="9" t="inlineStr">
        <is>
          <t>/om/seeb/ + Al Khoudh Business Profile</t>
        </is>
      </c>
      <c r="J70" s="9" t="inlineStr">
        <is>
          <t>Page (title) + Business Profile</t>
        </is>
      </c>
      <c r="K70" s="9" t="inlineStr">
        <is>
          <t>P2</t>
        </is>
      </c>
      <c r="L70" s="9" t="inlineStr"/>
    </row>
    <row r="71">
      <c r="A71" s="9" t="inlineStr">
        <is>
          <t>Oman</t>
        </is>
      </c>
      <c r="B71" s="9" t="inlineStr">
        <is>
          <t>مطاعم السيب (Seeb restaurants)</t>
        </is>
      </c>
      <c r="C71" s="10" t="n">
        <v>260</v>
      </c>
      <c r="D71" s="9" t="inlineStr">
        <is>
          <t>Google Ads (DataForSEO), monthly</t>
        </is>
      </c>
      <c r="E71" s="9" t="inlineStr">
        <is>
          <t>Area: Seeb (Arabic)</t>
        </is>
      </c>
      <c r="F71" s="9" t="inlineStr">
        <is>
          <t>Not page-checked</t>
        </is>
      </c>
      <c r="G71" s="9" t="inlineStr">
        <is>
          <t>not ranking</t>
        </is>
      </c>
      <c r="H71" s="9" t="inlineStr">
        <is>
          <t>—</t>
        </is>
      </c>
      <c r="I71" s="9" t="inlineStr">
        <is>
          <t>Needs Arabic content</t>
        </is>
      </c>
      <c r="J71" s="9" t="inlineStr">
        <is>
          <t>Arabic page</t>
        </is>
      </c>
      <c r="K71" s="9" t="inlineStr">
        <is>
          <t>P3</t>
        </is>
      </c>
      <c r="L71" s="9" t="inlineStr">
        <is>
          <t>No Arabic pages today</t>
        </is>
      </c>
    </row>
    <row r="72">
      <c r="A72" s="9" t="inlineStr">
        <is>
          <t>Oman</t>
        </is>
      </c>
      <c r="B72" s="9" t="inlineStr">
        <is>
          <t>burger near me</t>
        </is>
      </c>
      <c r="C72" s="10" t="n">
        <v>3600</v>
      </c>
      <c r="D72" s="9" t="inlineStr">
        <is>
          <t>Google Ads (DataForSEO), monthly</t>
        </is>
      </c>
      <c r="E72" s="9" t="inlineStr">
        <is>
          <t>Near me (burger)</t>
        </is>
      </c>
      <c r="F72" s="9" t="inlineStr">
        <is>
          <t>Not page-checked</t>
        </is>
      </c>
      <c r="G72" s="9" t="inlineStr">
        <is>
          <t>not ranking</t>
        </is>
      </c>
      <c r="H72" s="9" t="inlineStr">
        <is>
          <t>—</t>
        </is>
      </c>
      <c r="I72" s="9" t="inlineStr">
        <is>
          <t>Business Profiles</t>
        </is>
      </c>
      <c r="J72" s="9" t="inlineStr">
        <is>
          <t>Business Profile</t>
        </is>
      </c>
      <c r="K72" s="9" t="inlineStr">
        <is>
          <t>P3</t>
        </is>
      </c>
      <c r="L72" s="9" t="inlineStr"/>
    </row>
    <row r="73">
      <c r="A73" s="9" t="inlineStr">
        <is>
          <t>Qatar</t>
        </is>
      </c>
      <c r="B73" s="9" t="inlineStr">
        <is>
          <t>west walk restaurants</t>
        </is>
      </c>
      <c r="C73" s="10" t="n">
        <v>2400</v>
      </c>
      <c r="D73" s="9" t="inlineStr">
        <is>
          <t>Google Ads (DataForSEO), monthly</t>
        </is>
      </c>
      <c r="E73" s="9" t="inlineStr">
        <is>
          <t>Venue area: West Walk</t>
        </is>
      </c>
      <c r="F73" s="9" t="inlineStr">
        <is>
          <t>Weak: Instagram posts, small directories + Maps pack</t>
        </is>
      </c>
      <c r="G73" s="9" t="inlineStr">
        <is>
          <t>GSC avg #23.3</t>
        </is>
      </c>
      <c r="H73" s="9" t="inlineStr">
        <is>
          <t>Small directories</t>
        </is>
      </c>
      <c r="I73" s="9" t="inlineStr">
        <is>
          <t>/qa/doha/west-walk/ + West Walk Business Profile</t>
        </is>
      </c>
      <c r="J73" s="9" t="inlineStr">
        <is>
          <t>Page + Business Profile</t>
        </is>
      </c>
      <c r="K73" s="9" t="inlineStr">
        <is>
          <t>P1</t>
        </is>
      </c>
      <c r="L73" s="9" t="inlineStr">
        <is>
          <t>Winnable — weak page one</t>
        </is>
      </c>
    </row>
    <row r="74">
      <c r="A74" s="9" t="inlineStr">
        <is>
          <t>Qatar</t>
        </is>
      </c>
      <c r="B74" s="9" t="inlineStr">
        <is>
          <t>west walk doha</t>
        </is>
      </c>
      <c r="C74" s="10" t="n">
        <v>480</v>
      </c>
      <c r="D74" s="9" t="inlineStr">
        <is>
          <t>Google Ads (DataForSEO), monthly</t>
        </is>
      </c>
      <c r="E74" s="9" t="inlineStr">
        <is>
          <t>Venue area: West Walk</t>
        </is>
      </c>
      <c r="F74" s="9" t="inlineStr">
        <is>
          <t>Not page-checked</t>
        </is>
      </c>
      <c r="G74" s="9" t="inlineStr">
        <is>
          <t>not ranking</t>
        </is>
      </c>
      <c r="H74" s="9" t="inlineStr">
        <is>
          <t>—</t>
        </is>
      </c>
      <c r="I74" s="9" t="inlineStr">
        <is>
          <t>/qa/doha/west-walk/</t>
        </is>
      </c>
      <c r="J74" s="9" t="inlineStr">
        <is>
          <t>Page</t>
        </is>
      </c>
      <c r="K74" s="9" t="inlineStr">
        <is>
          <t>P2</t>
        </is>
      </c>
      <c r="L74" s="9" t="inlineStr"/>
    </row>
    <row r="75">
      <c r="A75" s="9" t="inlineStr">
        <is>
          <t>Qatar</t>
        </is>
      </c>
      <c r="B75" s="9" t="inlineStr">
        <is>
          <t>fried chicken near me</t>
        </is>
      </c>
      <c r="C75" s="10" t="n">
        <v>480</v>
      </c>
      <c r="D75" s="9" t="inlineStr">
        <is>
          <t>Google Ads (DataForSEO), monthly</t>
        </is>
      </c>
      <c r="E75" s="9" t="inlineStr">
        <is>
          <t>Near me</t>
        </is>
      </c>
      <c r="F75" s="9" t="inlineStr">
        <is>
          <t>Maps pack: Raising Cane's ×2, Hot chicken Barwa</t>
        </is>
      </c>
      <c r="G75" s="9" t="inlineStr">
        <is>
          <t>GSC avg #10.3</t>
        </is>
      </c>
      <c r="H75" s="9" t="inlineStr">
        <is>
          <t>Raising Cane's owns the Maps pack</t>
        </is>
      </c>
      <c r="I75" s="9" t="inlineStr">
        <is>
          <t>2 Qatar Business Profiles</t>
        </is>
      </c>
      <c r="J75" s="9" t="inlineStr">
        <is>
          <t>Business Profile</t>
        </is>
      </c>
      <c r="K75" s="9" t="inlineStr">
        <is>
          <t>P1</t>
        </is>
      </c>
      <c r="L75" s="9" t="inlineStr">
        <is>
          <t>Partner owns the profiles — need manager access</t>
        </is>
      </c>
    </row>
    <row r="76">
      <c r="A76" s="9" t="inlineStr">
        <is>
          <t>Qatar</t>
        </is>
      </c>
      <c r="B76" s="9" t="inlineStr">
        <is>
          <t>fried chicken</t>
        </is>
      </c>
      <c r="C76" s="10" t="n">
        <v>720</v>
      </c>
      <c r="D76" s="9" t="inlineStr">
        <is>
          <t>Google Ads (DataForSEO), monthly</t>
        </is>
      </c>
      <c r="E76" s="9" t="inlineStr">
        <is>
          <t>Generic head term</t>
        </is>
      </c>
      <c r="F76" s="9" t="inlineStr">
        <is>
          <t>Not page-checked</t>
        </is>
      </c>
      <c r="G76" s="9" t="inlineStr">
        <is>
          <t>not ranking</t>
        </is>
      </c>
      <c r="H76" s="9" t="inlineStr">
        <is>
          <t>—</t>
        </is>
      </c>
      <c r="I76" s="9" t="inlineStr">
        <is>
          <t>Business Profiles</t>
        </is>
      </c>
      <c r="J76" s="9" t="inlineStr">
        <is>
          <t>Business Profile</t>
        </is>
      </c>
      <c r="K76" s="9" t="inlineStr">
        <is>
          <t>P2</t>
        </is>
      </c>
      <c r="L76" s="9" t="inlineStr"/>
    </row>
    <row r="77">
      <c r="A77" s="9" t="inlineStr">
        <is>
          <t>Qatar</t>
        </is>
      </c>
      <c r="B77" s="9" t="inlineStr">
        <is>
          <t>chicken near me</t>
        </is>
      </c>
      <c r="C77" s="10" t="n">
        <v>590</v>
      </c>
      <c r="D77" s="9" t="inlineStr">
        <is>
          <t>Google Ads (DataForSEO), monthly</t>
        </is>
      </c>
      <c r="E77" s="9" t="inlineStr">
        <is>
          <t>Near me</t>
        </is>
      </c>
      <c r="F77" s="9" t="inlineStr">
        <is>
          <t>Maps pack</t>
        </is>
      </c>
      <c r="G77" s="9" t="inlineStr">
        <is>
          <t>GSC avg #42</t>
        </is>
      </c>
      <c r="H77" s="9" t="inlineStr">
        <is>
          <t>—</t>
        </is>
      </c>
      <c r="I77" s="9" t="inlineStr">
        <is>
          <t>Business Profiles</t>
        </is>
      </c>
      <c r="J77" s="9" t="inlineStr">
        <is>
          <t>Business Profile</t>
        </is>
      </c>
      <c r="K77" s="9" t="inlineStr">
        <is>
          <t>P2</t>
        </is>
      </c>
      <c r="L77" s="9" t="inlineStr"/>
    </row>
    <row r="78">
      <c r="A78" s="9" t="inlineStr">
        <is>
          <t>Qatar</t>
        </is>
      </c>
      <c r="B78" s="9" t="inlineStr">
        <is>
          <t>fried chicken qatar</t>
        </is>
      </c>
      <c r="C78" s="10" t="n">
        <v>210</v>
      </c>
      <c r="D78" s="9" t="inlineStr">
        <is>
          <t>Google Ads (DataForSEO), monthly</t>
        </is>
      </c>
      <c r="E78" s="9" t="inlineStr">
        <is>
          <t>Qatar</t>
        </is>
      </c>
      <c r="F78" s="9" t="inlineStr">
        <is>
          <t>Not page-checked</t>
        </is>
      </c>
      <c r="G78" s="9" t="inlineStr">
        <is>
          <t>GSC avg #10.7</t>
        </is>
      </c>
      <c r="H78" s="9" t="inlineStr">
        <is>
          <t>—</t>
        </is>
      </c>
      <c r="I78" s="9" t="inlineStr">
        <is>
          <t>/qa/</t>
        </is>
      </c>
      <c r="J78" s="9" t="inlineStr">
        <is>
          <t>Page (title)</t>
        </is>
      </c>
      <c r="K78" s="9" t="inlineStr">
        <is>
          <t>P1</t>
        </is>
      </c>
      <c r="L78" s="9" t="inlineStr"/>
    </row>
    <row r="79">
      <c r="A79" s="9" t="inlineStr">
        <is>
          <t>Qatar</t>
        </is>
      </c>
      <c r="B79" s="9" t="inlineStr">
        <is>
          <t>best fried chicken in qatar</t>
        </is>
      </c>
      <c r="C79" s="10" t="n">
        <v>210</v>
      </c>
      <c r="D79" s="9" t="inlineStr">
        <is>
          <t>Google Ads (DataForSEO), monthly</t>
        </is>
      </c>
      <c r="E79" s="9" t="inlineStr">
        <is>
          <t>Qatar</t>
        </is>
      </c>
      <c r="F79" s="9" t="inlineStr">
        <is>
          <t>Facebook, Texas Chicken, TripAdvisor; Bonbird #6 live; Maps: Raising Cane's</t>
        </is>
      </c>
      <c r="G79" s="9" t="inlineStr">
        <is>
          <t>GSC avg #9.9 · #6 live</t>
        </is>
      </c>
      <c r="H79" s="9" t="inlineStr">
        <is>
          <t>Texas Chicken Qatar #2</t>
        </is>
      </c>
      <c r="I79" s="9" t="inlineStr">
        <is>
          <t>/qa/doha/</t>
        </is>
      </c>
      <c r="J79" s="9" t="inlineStr">
        <is>
          <t>Page</t>
        </is>
      </c>
      <c r="K79" s="9" t="inlineStr">
        <is>
          <t>P1</t>
        </is>
      </c>
      <c r="L79" s="9" t="inlineStr"/>
    </row>
    <row r="80">
      <c r="A80" s="9" t="inlineStr">
        <is>
          <t>Qatar</t>
        </is>
      </c>
      <c r="B80" s="9" t="inlineStr">
        <is>
          <t>district one doha</t>
        </is>
      </c>
      <c r="C80" s="10" t="n">
        <v>210</v>
      </c>
      <c r="D80" s="9" t="inlineStr">
        <is>
          <t>Google Ads (DataForSEO), monthly</t>
        </is>
      </c>
      <c r="E80" s="9" t="inlineStr">
        <is>
          <t>Venue area: District One</t>
        </is>
      </c>
      <c r="F80" s="9" t="inlineStr">
        <is>
          <t>Not page-checked</t>
        </is>
      </c>
      <c r="G80" s="9" t="inlineStr">
        <is>
          <t>GSC avg #11.6</t>
        </is>
      </c>
      <c r="H80" s="9" t="inlineStr">
        <is>
          <t>—</t>
        </is>
      </c>
      <c r="I80" s="9" t="inlineStr">
        <is>
          <t>/qa/doha/district-one/</t>
        </is>
      </c>
      <c r="J80" s="9" t="inlineStr">
        <is>
          <t>Page</t>
        </is>
      </c>
      <c r="K80" s="9" t="inlineStr">
        <is>
          <t>P2</t>
        </is>
      </c>
      <c r="L80" s="9" t="inlineStr"/>
    </row>
    <row r="81">
      <c r="A81" s="9" t="inlineStr">
        <is>
          <t>Qatar</t>
        </is>
      </c>
      <c r="B81" s="9" t="inlineStr">
        <is>
          <t>fried chicken doha</t>
        </is>
      </c>
      <c r="C81" s="10" t="n">
        <v>50</v>
      </c>
      <c r="D81" s="9" t="inlineStr">
        <is>
          <t>Google Ads (DataForSEO), monthly</t>
        </is>
      </c>
      <c r="E81" s="9" t="inlineStr">
        <is>
          <t>Doha</t>
        </is>
      </c>
      <c r="F81" s="9" t="inlineStr">
        <is>
          <t>Bonbird #2 live; Maps: Go Crispy, Raising Cane's</t>
        </is>
      </c>
      <c r="G81" s="9" t="inlineStr">
        <is>
          <t>GSC avg #8.9 · #2 live</t>
        </is>
      </c>
      <c r="H81" s="9" t="inlineStr">
        <is>
          <t>Go Crispy, Raising Cane's</t>
        </is>
      </c>
      <c r="I81" s="9" t="inlineStr">
        <is>
          <t>/qa/doha/</t>
        </is>
      </c>
      <c r="J81" s="9" t="inlineStr">
        <is>
          <t>Page</t>
        </is>
      </c>
      <c r="K81" s="9" t="inlineStr">
        <is>
          <t>P2</t>
        </is>
      </c>
      <c r="L81" s="9" t="inlineStr">
        <is>
          <t>Already near top</t>
        </is>
      </c>
    </row>
    <row r="82">
      <c r="A82" s="9" t="inlineStr">
        <is>
          <t>Qatar</t>
        </is>
      </c>
      <c r="B82" s="9" t="inlineStr">
        <is>
          <t>best burger in doha</t>
        </is>
      </c>
      <c r="C82" s="10" t="n">
        <v>480</v>
      </c>
      <c r="D82" s="9" t="inlineStr">
        <is>
          <t>Google Ads (DataForSEO), monthly</t>
        </is>
      </c>
      <c r="E82" s="9" t="inlineStr">
        <is>
          <t>Burger</t>
        </is>
      </c>
      <c r="F82" s="9" t="inlineStr">
        <is>
          <t>Not page-checked</t>
        </is>
      </c>
      <c r="G82" s="9" t="inlineStr">
        <is>
          <t>not ranking</t>
        </is>
      </c>
      <c r="H82" s="9" t="inlineStr">
        <is>
          <t>—</t>
        </is>
      </c>
      <c r="I82" s="9" t="inlineStr">
        <is>
          <t>Business Profiles</t>
        </is>
      </c>
      <c r="J82" s="9" t="inlineStr">
        <is>
          <t>Business Profile</t>
        </is>
      </c>
      <c r="K82" s="9" t="inlineStr">
        <is>
          <t>P3</t>
        </is>
      </c>
      <c r="L82" s="9" t="inlineStr"/>
    </row>
  </sheetData>
  <conditionalFormatting sqref="K2:K82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46" customWidth="1" min="4" max="4"/>
    <col width="14" customWidth="1" min="5" max="5"/>
    <col width="52" customWidth="1" min="6" max="6"/>
  </cols>
  <sheetData>
    <row r="1">
      <c r="A1" s="3" t="inlineStr">
        <is>
          <t>Page or asset</t>
        </is>
      </c>
      <c r="B1" s="3" t="inlineStr">
        <is>
          <t>Market</t>
        </is>
      </c>
      <c r="C1" s="3" t="inlineStr">
        <is>
          <t>Primary keyword cluster</t>
        </is>
      </c>
      <c r="D1" s="3" t="inlineStr">
        <is>
          <t>Supporting keywords</t>
        </is>
      </c>
      <c r="E1" s="3" t="inlineStr">
        <is>
          <t>Searches / mo (sum)</t>
        </is>
      </c>
      <c r="F1" s="3" t="inlineStr">
        <is>
          <t>Status / action</t>
        </is>
      </c>
    </row>
    <row r="2">
      <c r="A2" s="9" t="inlineStr">
        <is>
          <t>/ae/chicken/</t>
        </is>
      </c>
      <c r="B2" s="9" t="inlineStr">
        <is>
          <t>UAE</t>
        </is>
      </c>
      <c r="C2" s="9" t="inlineStr">
        <is>
          <t>Nashville hot chicken</t>
        </is>
      </c>
      <c r="D2" s="9" t="inlineStr">
        <is>
          <t>nashville chicken, hot chicken, nashville hot chicken, hot fried chicken, fried chicken restaurant</t>
        </is>
      </c>
      <c r="E2" s="10">
        <f>SUMIFS(Keywords!$C:$C,Keywords!$I:$I,"/ae/chicken/*")</f>
        <v/>
      </c>
      <c r="F2" s="9" t="inlineStr">
        <is>
          <t>Retitle to Nashville hot chicken (remove false 'broasted'); website chat adds flavours section (6 heat levels)</t>
        </is>
      </c>
    </row>
    <row r="3">
      <c r="A3" s="9" t="inlineStr">
        <is>
          <t>/ae/dubai/</t>
        </is>
      </c>
      <c r="B3" s="9" t="inlineStr">
        <is>
          <t>UAE</t>
        </is>
      </c>
      <c r="C3" s="9" t="inlineStr">
        <is>
          <t>best fried chicken in dubai</t>
        </is>
      </c>
      <c r="D3" s="9" t="inlineStr">
        <is>
          <t>fried chicken dubai, crispy chicken dubai, chicken (in) dubai, chicken restaurants in dubai</t>
        </is>
      </c>
      <c r="E3" s="10">
        <f>SUMIFS(Keywords!$C:$C,Keywords!$I:$I,"/ae/dubai/")</f>
        <v/>
      </c>
      <c r="F3" s="9" t="inlineStr">
        <is>
          <t>Retitle; already #2–#5</t>
        </is>
      </c>
    </row>
    <row r="4">
      <c r="A4" s="9" t="inlineStr">
        <is>
          <t>/ae/abu-dhabi/</t>
        </is>
      </c>
      <c r="B4" s="9" t="inlineStr">
        <is>
          <t>UAE</t>
        </is>
      </c>
      <c r="C4" s="9" t="inlineStr">
        <is>
          <t>best chicken abu dhabi</t>
        </is>
      </c>
      <c r="D4" s="9" t="inlineStr">
        <is>
          <t>crispy chicken abu dhabi, chicken abu dhabi, fried chicken abu dhabi</t>
        </is>
      </c>
      <c r="E4" s="10">
        <f>SUMIFS(Keywords!$C:$C,Keywords!$I:$I,"/ae/abu-dhabi/")</f>
        <v/>
      </c>
      <c r="F4" s="9" t="inlineStr">
        <is>
          <t>Title changed 23 Sep — wait for mid-Oct grade</t>
        </is>
      </c>
    </row>
    <row r="5">
      <c r="A5" s="9" t="inlineStr">
        <is>
          <t>/ae/sharjah/</t>
        </is>
      </c>
      <c r="B5" s="9" t="inlineStr">
        <is>
          <t>UAE</t>
        </is>
      </c>
      <c r="C5" s="9" t="inlineStr">
        <is>
          <t>chicken sharjah</t>
        </is>
      </c>
      <c r="D5" s="9" t="inlineStr">
        <is>
          <t>fried chicken sharjah</t>
        </is>
      </c>
      <c r="E5" s="10">
        <f>SUMIFS(Keywords!$C:$C,Keywords!$I:$I,"/ae/sharjah/")</f>
        <v/>
      </c>
      <c r="F5" s="9" t="inlineStr">
        <is>
          <t>Minor</t>
        </is>
      </c>
    </row>
    <row r="6">
      <c r="A6" s="9" t="inlineStr">
        <is>
          <t>/ae/dubai/mirdif/</t>
        </is>
      </c>
      <c r="B6" s="9" t="inlineStr">
        <is>
          <t>UAE</t>
        </is>
      </c>
      <c r="C6" s="9" t="inlineStr">
        <is>
          <t>mirdif city center restaurants</t>
        </is>
      </c>
      <c r="D6" s="9" t="inlineStr">
        <is>
          <t>mirdif city center food court</t>
        </is>
      </c>
      <c r="E6" s="10">
        <f>SUMIFS(Keywords!$C:$C,Keywords!$I:$I,"/ae/dubai/mirdif/")</f>
        <v/>
      </c>
      <c r="F6" s="9" t="inlineStr">
        <is>
          <t>Retitle with 'Mirdif City Centre' + mall-dining content + mall directory link</t>
        </is>
      </c>
    </row>
    <row r="7">
      <c r="A7" s="9" t="inlineStr">
        <is>
          <t>/ae/dubai/city-walk/</t>
        </is>
      </c>
      <c r="B7" s="9" t="inlineStr">
        <is>
          <t>UAE</t>
        </is>
      </c>
      <c r="C7" s="9" t="inlineStr">
        <is>
          <t>city walk restaurants</t>
        </is>
      </c>
      <c r="D7" s="9" t="inlineStr"/>
      <c r="E7" s="10">
        <f>SUMIFS(Keywords!$C:$C,Keywords!$I:$I,"/ae/dubai/city-walk/*")</f>
        <v/>
      </c>
      <c r="F7" s="9" t="inlineStr">
        <is>
          <t>Mall directory link</t>
        </is>
      </c>
    </row>
    <row r="8">
      <c r="A8" s="9" t="inlineStr">
        <is>
          <t>5 UAE Business Profiles</t>
        </is>
      </c>
      <c r="B8" s="9" t="inlineStr">
        <is>
          <t>UAE</t>
        </is>
      </c>
      <c r="C8" s="9" t="inlineStr">
        <is>
          <t>near me (all variants) + generic head terms</t>
        </is>
      </c>
      <c r="D8" s="9" t="inlineStr">
        <is>
          <t>chicken near me, fried chicken near me, crispy chicken near me, fried chicken…</t>
        </is>
      </c>
      <c r="E8" s="10">
        <f>SUMIFS(Keywords!$C:$C,Keywords!$A:$A,"UAE",Keywords!$J:$J,"Business Profile*")</f>
        <v/>
      </c>
      <c r="F8" s="9" t="inlineStr">
        <is>
          <t>Fix website links to venue pages; categories; weekly posts; reviews</t>
        </is>
      </c>
    </row>
    <row r="9">
      <c r="A9" s="9" t="inlineStr">
        <is>
          <t>/pk/lahore/cue-cinemas/ (Gulberg)</t>
        </is>
      </c>
      <c r="B9" s="9" t="inlineStr">
        <is>
          <t>Pakistan</t>
        </is>
      </c>
      <c r="C9" s="9" t="inlineStr">
        <is>
          <t>fast food in gulberg</t>
        </is>
      </c>
      <c r="D9" s="9" t="inlineStr">
        <is>
          <t>gulberg restaurants (via lists + Maps)</t>
        </is>
      </c>
      <c r="E9" s="10">
        <f>SUMIFS(Keywords!$C:$C,Keywords!$I:$I,"Gulberg*")+SUMIFS(Keywords!$C:$C,Keywords!$I:$I,"/pk/lahore/cue-cinemas/")</f>
        <v/>
      </c>
      <c r="F9" s="9" t="inlineStr">
        <is>
          <t>Retitle leading with Gulberg; list outreach; partner profile access</t>
        </is>
      </c>
    </row>
    <row r="10">
      <c r="A10" s="9" t="inlineStr">
        <is>
          <t>/pk/lahore/dolmen-mall/ (DHA)</t>
        </is>
      </c>
      <c r="B10" s="9" t="inlineStr">
        <is>
          <t>Pakistan</t>
        </is>
      </c>
      <c r="C10" s="9" t="inlineStr">
        <is>
          <t>dolmen mall restaurants</t>
        </is>
      </c>
      <c r="D10" s="9" t="inlineStr">
        <is>
          <t>restaurants in dha lahore, dha restaurants (via lists + Maps)</t>
        </is>
      </c>
      <c r="E10" s="10">
        <f>SUMIFS(Keywords!$C:$C,Keywords!$I:$I,"Dolmen*")+SUMIFS(Keywords!$C:$C,Keywords!$I:$I,"/pk/lahore/dolmen-mall/*")</f>
        <v/>
      </c>
      <c r="F10" s="9" t="inlineStr">
        <is>
          <t>Retitle with Dolmen Mall + DHA</t>
        </is>
      </c>
    </row>
    <row r="11">
      <c r="A11" s="9" t="inlineStr">
        <is>
          <t>/pk/lahore/johar-town/</t>
        </is>
      </c>
      <c r="B11" s="9" t="inlineStr">
        <is>
          <t>Pakistan</t>
        </is>
      </c>
      <c r="C11" s="9" t="inlineStr">
        <is>
          <t>johar town restaurants (via lists + Maps)</t>
        </is>
      </c>
      <c r="D11" s="9" t="inlineStr"/>
      <c r="E11" s="10">
        <f>SUMIFS(Keywords!$C:$C,Keywords!$I:$I,"Johar*")</f>
        <v/>
      </c>
      <c r="F11" s="9" t="inlineStr">
        <is>
          <t>List outreach + partner profile access</t>
        </is>
      </c>
    </row>
    <row r="12">
      <c r="A12" s="9" t="inlineStr">
        <is>
          <t>/pk/lahore/</t>
        </is>
      </c>
      <c r="B12" s="9" t="inlineStr">
        <is>
          <t>Pakistan</t>
        </is>
      </c>
      <c r="C12" s="9" t="inlineStr">
        <is>
          <t>fried chicken lahore</t>
        </is>
      </c>
      <c r="D12" s="9" t="inlineStr">
        <is>
          <t>best fried chicken in lahore, fast food lahore</t>
        </is>
      </c>
      <c r="E12" s="10">
        <f>SUMIFS(Keywords!$C:$C,Keywords!$I:$I,"/pk/lahore/")</f>
        <v/>
      </c>
      <c r="F12" s="9" t="inlineStr">
        <is>
          <t>Retitle</t>
        </is>
      </c>
    </row>
    <row r="13">
      <c r="A13" s="9" t="inlineStr">
        <is>
          <t>/om/muscat/</t>
        </is>
      </c>
      <c r="B13" s="9" t="inlineStr">
        <is>
          <t>Oman</t>
        </is>
      </c>
      <c r="C13" s="9" t="inlineStr">
        <is>
          <t>fried chicken muscat</t>
        </is>
      </c>
      <c r="D13" s="9" t="inlineStr">
        <is>
          <t>best fried chicken in muscat</t>
        </is>
      </c>
      <c r="E13" s="10">
        <f>SUMIFS(Keywords!$C:$C,Keywords!$I:$I,"/om/muscat/")</f>
        <v/>
      </c>
      <c r="F13" s="9" t="inlineStr">
        <is>
          <t>Already #1 live; split overlap with Souq Al Madina page</t>
        </is>
      </c>
    </row>
    <row r="14">
      <c r="A14" s="9" t="inlineStr">
        <is>
          <t>/om/seeb/</t>
        </is>
      </c>
      <c r="B14" s="9" t="inlineStr">
        <is>
          <t>Oman</t>
        </is>
      </c>
      <c r="C14" s="9" t="inlineStr">
        <is>
          <t>restaurants in seeb</t>
        </is>
      </c>
      <c r="D14" s="9" t="inlineStr"/>
      <c r="E14" s="10">
        <f>SUMIFS(Keywords!$C:$C,Keywords!$I:$I,"/om/seeb/*")</f>
        <v/>
      </c>
      <c r="F14" s="9" t="inlineStr">
        <is>
          <t>Retitle</t>
        </is>
      </c>
    </row>
    <row r="15">
      <c r="A15" s="9" t="inlineStr">
        <is>
          <t>/qa/doha/west-walk/</t>
        </is>
      </c>
      <c r="B15" s="9" t="inlineStr">
        <is>
          <t>Qatar</t>
        </is>
      </c>
      <c r="C15" s="9" t="inlineStr">
        <is>
          <t>west walk restaurants</t>
        </is>
      </c>
      <c r="D15" s="9" t="inlineStr">
        <is>
          <t>west walk doha</t>
        </is>
      </c>
      <c r="E15" s="10">
        <f>SUMIFS(Keywords!$C:$C,Keywords!$I:$I,"/qa/doha/west-walk/*")</f>
        <v/>
      </c>
      <c r="F15" s="9" t="inlineStr">
        <is>
          <t>Winnable — strengthen page + profile</t>
        </is>
      </c>
    </row>
    <row r="16">
      <c r="A16" s="9" t="inlineStr">
        <is>
          <t>/qa/doha/</t>
        </is>
      </c>
      <c r="B16" s="9" t="inlineStr">
        <is>
          <t>Qatar</t>
        </is>
      </c>
      <c r="C16" s="9" t="inlineStr">
        <is>
          <t>best fried chicken in qatar</t>
        </is>
      </c>
      <c r="D16" s="9" t="inlineStr">
        <is>
          <t>fried chicken doha</t>
        </is>
      </c>
      <c r="E16" s="10">
        <f>SUMIFS(Keywords!$C:$C,Keywords!$I:$I,"/qa/doha/")</f>
        <v/>
      </c>
      <c r="F16" s="9" t="inlineStr">
        <is>
          <t>Already #2–#6 live</t>
        </is>
      </c>
    </row>
    <row r="17">
      <c r="A17" s="9" t="inlineStr">
        <is>
          <t>/qa/</t>
        </is>
      </c>
      <c r="B17" s="9" t="inlineStr">
        <is>
          <t>Qatar</t>
        </is>
      </c>
      <c r="C17" s="9" t="inlineStr">
        <is>
          <t>fried chicken qatar</t>
        </is>
      </c>
      <c r="D17" s="9" t="inlineStr"/>
      <c r="E17" s="10">
        <f>SUMIFS(Keywords!$C:$C,Keywords!$I:$I,"/qa/")</f>
        <v/>
      </c>
      <c r="F17" s="9" t="inlineStr">
        <is>
          <t>Retitle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16" customWidth="1" min="4" max="4"/>
    <col width="60" customWidth="1" min="5" max="5"/>
    <col width="14" customWidth="1" min="6" max="6"/>
  </cols>
  <sheetData>
    <row r="1">
      <c r="A1" s="3" t="inlineStr">
        <is>
          <t>Market</t>
        </is>
      </c>
      <c r="B1" s="3" t="inlineStr">
        <is>
          <t>Competitor</t>
        </is>
      </c>
      <c r="C1" s="3" t="inlineStr">
        <is>
          <t>Website</t>
        </is>
      </c>
      <c r="D1" s="3" t="inlineStr">
        <is>
          <t>Keywords it ranks for (market)</t>
        </is>
      </c>
      <c r="E1" s="3" t="inlineStr">
        <is>
          <t>What it ranks with</t>
        </is>
      </c>
      <c r="F1" s="3" t="inlineStr">
        <is>
          <t>Ranking website?</t>
        </is>
      </c>
    </row>
    <row r="2">
      <c r="A2" s="9" t="inlineStr">
        <is>
          <t>UAE</t>
        </is>
      </c>
      <c r="B2" s="9" t="inlineStr">
        <is>
          <t>KFC</t>
        </is>
      </c>
      <c r="C2" s="9" t="inlineStr">
        <is>
          <t>uae.kfc.me</t>
        </is>
      </c>
      <c r="D2" s="9" t="n">
        <v>627</v>
      </c>
      <c r="E2" s="9" t="inlineStr">
        <is>
          <t>Store pages for malls/food courts and 'drive thru near me'; brand searches</t>
        </is>
      </c>
      <c r="F2" s="9" t="inlineStr">
        <is>
          <t>Yes</t>
        </is>
      </c>
    </row>
    <row r="3">
      <c r="A3" s="9" t="inlineStr">
        <is>
          <t>UAE</t>
        </is>
      </c>
      <c r="B3" s="9" t="inlineStr">
        <is>
          <t>Texas Chicken</t>
        </is>
      </c>
      <c r="C3" s="9" t="inlineStr">
        <is>
          <t>uae.texaschicken.com</t>
        </is>
      </c>
      <c r="D3" s="9" t="n">
        <v>114</v>
      </c>
      <c r="E3" s="9" t="inlineStr">
        <is>
          <t>'chicken restaurant(s) in dubai' #1–4, 'chicken strips/tenders near me' #2–3 — the website to beat</t>
        </is>
      </c>
      <c r="F3" s="9" t="inlineStr">
        <is>
          <t>Yes</t>
        </is>
      </c>
    </row>
    <row r="4">
      <c r="A4" s="9" t="inlineStr">
        <is>
          <t>UAE</t>
        </is>
      </c>
      <c r="B4" s="9" t="inlineStr">
        <is>
          <t>Jollibee</t>
        </is>
      </c>
      <c r="C4" s="9" t="inlineStr">
        <is>
          <t>jollibeeuae.com</t>
        </is>
      </c>
      <c r="D4" s="9" t="n">
        <v>86</v>
      </c>
      <c r="E4" s="9" t="inlineStr">
        <is>
          <t>Mostly brand + Filipino dishes</t>
        </is>
      </c>
      <c r="F4" s="9" t="inlineStr">
        <is>
          <t>Yes</t>
        </is>
      </c>
    </row>
    <row r="5">
      <c r="A5" s="9" t="inlineStr">
        <is>
          <t>UAE</t>
        </is>
      </c>
      <c r="B5" s="9" t="inlineStr">
        <is>
          <t>Popeyes</t>
        </is>
      </c>
      <c r="C5" s="9" t="inlineStr">
        <is>
          <t>popeyesuae.com</t>
        </is>
      </c>
      <c r="D5" s="9" t="n">
        <v>73</v>
      </c>
      <c r="E5" s="9" t="inlineStr">
        <is>
          <t>Mostly brand</t>
        </is>
      </c>
      <c r="F5" s="9" t="inlineStr">
        <is>
          <t>Yes</t>
        </is>
      </c>
    </row>
    <row r="6">
      <c r="A6" s="9" t="inlineStr">
        <is>
          <t>UAE</t>
        </is>
      </c>
      <c r="B6" s="9" t="inlineStr">
        <is>
          <t>Raising Cane's</t>
        </is>
      </c>
      <c r="C6" s="9" t="inlineStr">
        <is>
          <t>raisingcanes.com (global)</t>
        </is>
      </c>
      <c r="D6" s="9" t="n">
        <v>74</v>
      </c>
      <c r="E6" s="9" t="inlineStr">
        <is>
          <t>No UAE site; ranks via Zomato/Deliveroo/Alshaya</t>
        </is>
      </c>
      <c r="F6" s="9" t="inlineStr">
        <is>
          <t>Global only</t>
        </is>
      </c>
    </row>
    <row r="7">
      <c r="A7" s="9" t="inlineStr">
        <is>
          <t>UAE</t>
        </is>
      </c>
      <c r="B7" s="9" t="inlineStr">
        <is>
          <t>Dave's Hot Chicken</t>
        </is>
      </c>
      <c r="C7" s="9" t="inlineStr">
        <is>
          <t>daveshotchicken.com (global)</t>
        </is>
      </c>
      <c r="D7" s="9" t="n">
        <v>45</v>
      </c>
      <c r="E7" s="9" t="inlineStr">
        <is>
          <t>UAE presence via listings (MenuPages, Zomato, TripAdvisor) — owns 'hot chicken' through them</t>
        </is>
      </c>
      <c r="F7" s="9" t="inlineStr">
        <is>
          <t>Global only</t>
        </is>
      </c>
    </row>
    <row r="8">
      <c r="A8" s="9" t="inlineStr">
        <is>
          <t>UAE</t>
        </is>
      </c>
      <c r="B8" s="9" t="inlineStr">
        <is>
          <t>Jailbird</t>
        </is>
      </c>
      <c r="C8" s="9" t="inlineStr">
        <is>
          <t>—</t>
        </is>
      </c>
      <c r="D8" s="9" t="inlineStr">
        <is>
          <t>—</t>
        </is>
      </c>
      <c r="E8" s="9" t="inlineStr">
        <is>
          <t>No ranking website — Instagram, Zomato, Talabat</t>
        </is>
      </c>
      <c r="F8" s="9" t="inlineStr">
        <is>
          <t>No</t>
        </is>
      </c>
    </row>
    <row r="9">
      <c r="A9" s="9" t="inlineStr">
        <is>
          <t>UAE</t>
        </is>
      </c>
      <c r="B9" s="9" t="inlineStr">
        <is>
          <t>Fowli</t>
        </is>
      </c>
      <c r="C9" s="9" t="inlineStr">
        <is>
          <t>—</t>
        </is>
      </c>
      <c r="D9" s="9" t="inlineStr">
        <is>
          <t>—</t>
        </is>
      </c>
      <c r="E9" s="9" t="inlineStr">
        <is>
          <t>No ranking website — Facebook, Zomato, Instagram</t>
        </is>
      </c>
      <c r="F9" s="9" t="inlineStr">
        <is>
          <t>No</t>
        </is>
      </c>
    </row>
    <row r="10">
      <c r="A10" s="9" t="inlineStr">
        <is>
          <t>UAE</t>
        </is>
      </c>
      <c r="B10" s="9" t="inlineStr">
        <is>
          <t>Peppers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No ranking website</t>
        </is>
      </c>
      <c r="F10" s="9" t="inlineStr">
        <is>
          <t>No</t>
        </is>
      </c>
    </row>
    <row r="11">
      <c r="A11" s="9" t="inlineStr">
        <is>
          <t>UAE</t>
        </is>
      </c>
      <c r="B11" s="9" t="inlineStr">
        <is>
          <t>Toit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No ranking website — Instagram, Zomato, Talabat</t>
        </is>
      </c>
      <c r="F11" s="9" t="inlineStr">
        <is>
          <t>No</t>
        </is>
      </c>
    </row>
    <row r="12">
      <c r="A12" s="9" t="inlineStr">
        <is>
          <t>UAE</t>
        </is>
      </c>
      <c r="B12" s="9" t="inlineStr">
        <is>
          <t>Crispy Chicken UAE (found)</t>
        </is>
      </c>
      <c r="C12" s="9" t="inlineStr">
        <is>
          <t>crispychicken-uae.com</t>
        </is>
      </c>
      <c r="D12" s="9" t="inlineStr">
        <is>
          <t>—</t>
        </is>
      </c>
      <c r="E12" s="9" t="inlineStr">
        <is>
          <t>Owns the 33,100/mo 'crispy chicken' brand search</t>
        </is>
      </c>
      <c r="F12" s="9" t="inlineStr">
        <is>
          <t>Yes</t>
        </is>
      </c>
    </row>
    <row r="13">
      <c r="A13" s="9" t="inlineStr">
        <is>
          <t>UAE</t>
        </is>
      </c>
      <c r="B13" s="9" t="inlineStr">
        <is>
          <t>Bonbird</t>
        </is>
      </c>
      <c r="C13" s="9" t="inlineStr">
        <is>
          <t>bonbirdchicken.com</t>
        </is>
      </c>
      <c r="D13" s="9" t="n">
        <v>148</v>
      </c>
      <c r="E13" s="9" t="inlineStr">
        <is>
          <t>Top restaurant site for most generic local searches (#2–#5)</t>
        </is>
      </c>
      <c r="F13" s="9" t="inlineStr">
        <is>
          <t>Yes</t>
        </is>
      </c>
    </row>
    <row r="14">
      <c r="A14" s="9" t="inlineStr">
        <is>
          <t>Pakistan</t>
        </is>
      </c>
      <c r="B14" s="9" t="inlineStr">
        <is>
          <t>KFC</t>
        </is>
      </c>
      <c r="C14" s="9" t="inlineStr">
        <is>
          <t>kfcpakistan.com</t>
        </is>
      </c>
      <c r="D14" s="9" t="n">
        <v>1000</v>
      </c>
      <c r="E14" s="9" t="inlineStr">
        <is>
          <t>Deals and prices ('zinger burger price', 'food deals')</t>
        </is>
      </c>
      <c r="F14" s="9" t="inlineStr">
        <is>
          <t>Yes</t>
        </is>
      </c>
    </row>
    <row r="15">
      <c r="A15" s="9" t="inlineStr">
        <is>
          <t>Pakistan</t>
        </is>
      </c>
      <c r="B15" s="9" t="inlineStr">
        <is>
          <t>Kababjees Fried Chicken</t>
        </is>
      </c>
      <c r="C15" s="9" t="inlineStr">
        <is>
          <t>kababjeesfriedchicken.com</t>
        </is>
      </c>
      <c r="D15" s="9" t="n">
        <v>249</v>
      </c>
      <c r="E15" s="9" t="inlineStr">
        <is>
          <t>National SEO leader: #1 'fried chicken', 'fried chicken near me'; deal landing pages + blog</t>
        </is>
      </c>
      <c r="F15" s="9" t="inlineStr">
        <is>
          <t>Yes</t>
        </is>
      </c>
    </row>
    <row r="16">
      <c r="A16" s="9" t="inlineStr">
        <is>
          <t>Pakistan</t>
        </is>
      </c>
      <c r="B16" s="9" t="inlineStr">
        <is>
          <t>Hen n Bun</t>
        </is>
      </c>
      <c r="C16" s="9" t="inlineStr">
        <is>
          <t>hennbun.pk</t>
        </is>
      </c>
      <c r="D16" s="9" t="n">
        <v>25</v>
      </c>
      <c r="E16" s="9" t="inlineStr">
        <is>
          <t>Mostly brand</t>
        </is>
      </c>
      <c r="F16" s="9" t="inlineStr">
        <is>
          <t>Yes</t>
        </is>
      </c>
    </row>
    <row r="17">
      <c r="A17" s="9" t="inlineStr">
        <is>
          <t>Pakistan</t>
        </is>
      </c>
      <c r="B17" s="9" t="inlineStr">
        <is>
          <t>CP Five Star</t>
        </is>
      </c>
      <c r="C17" s="9" t="inlineStr">
        <is>
          <t>cpfivestar.pk</t>
        </is>
      </c>
      <c r="D17" s="9" t="n">
        <v>2</v>
      </c>
      <c r="E17" s="9" t="inlineStr">
        <is>
          <t>Negligible</t>
        </is>
      </c>
      <c r="F17" s="9" t="inlineStr">
        <is>
          <t>Yes</t>
        </is>
      </c>
    </row>
    <row r="18">
      <c r="A18" s="9" t="inlineStr">
        <is>
          <t>Pakistan</t>
        </is>
      </c>
      <c r="B18" s="9" t="inlineStr">
        <is>
          <t>Mary Brown's</t>
        </is>
      </c>
      <c r="C18" s="9" t="inlineStr">
        <is>
          <t>marybrowns.com (global)</t>
        </is>
      </c>
      <c r="D18" s="9" t="n">
        <v>5</v>
      </c>
      <c r="E18" s="9" t="inlineStr">
        <is>
          <t>Negligible in Pakistan</t>
        </is>
      </c>
      <c r="F18" s="9" t="inlineStr">
        <is>
          <t>Global only</t>
        </is>
      </c>
    </row>
    <row r="19">
      <c r="A19" s="9" t="inlineStr">
        <is>
          <t>Pakistan</t>
        </is>
      </c>
      <c r="B19" s="9" t="inlineStr">
        <is>
          <t>Fri-Chiks</t>
        </is>
      </c>
      <c r="C19" s="9" t="inlineStr">
        <is>
          <t>—</t>
        </is>
      </c>
      <c r="D19" s="9" t="inlineStr">
        <is>
          <t>—</t>
        </is>
      </c>
      <c r="E19" s="9" t="inlineStr">
        <is>
          <t>No ranking website — Facebook, TripAdvisor, foodpanda</t>
        </is>
      </c>
      <c r="F19" s="9" t="inlineStr">
        <is>
          <t>No</t>
        </is>
      </c>
    </row>
    <row r="20">
      <c r="A20" s="9" t="inlineStr">
        <is>
          <t>Pakistan</t>
        </is>
      </c>
      <c r="B20" s="9" t="inlineStr">
        <is>
          <t>Bonbird</t>
        </is>
      </c>
      <c r="C20" s="9" t="inlineStr">
        <is>
          <t>bonbirdchicken.com</t>
        </is>
      </c>
      <c r="D20" s="9" t="n">
        <v>23</v>
      </c>
      <c r="E20" s="9" t="inlineStr">
        <is>
          <t>Ranks for its own brand + Lahore venues</t>
        </is>
      </c>
      <c r="F20" s="9" t="inlineStr">
        <is>
          <t>Yes</t>
        </is>
      </c>
    </row>
    <row r="21">
      <c r="A21" s="9" t="inlineStr">
        <is>
          <t>Oman</t>
        </is>
      </c>
      <c r="B21" s="9" t="inlineStr">
        <is>
          <t>Fry Chicks, Fried Bowl, MFC (Muscat Fried Chicken), Cluck, El Baraka, CFC, Golden Crispy, Chikarro, Frispy (found)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Compete on Maps, Talabat, Instagram — no ranking websites</t>
        </is>
      </c>
      <c r="F21" s="9" t="inlineStr">
        <is>
          <t>No</t>
        </is>
      </c>
    </row>
    <row r="22">
      <c r="A22" s="9" t="inlineStr">
        <is>
          <t>Oman</t>
        </is>
      </c>
      <c r="B22" s="9" t="inlineStr">
        <is>
          <t>Bonbird</t>
        </is>
      </c>
      <c r="C22" s="9" t="inlineStr">
        <is>
          <t>bonbirdchicken.com</t>
        </is>
      </c>
      <c r="D22" s="9" t="inlineStr">
        <is>
          <t>—</t>
        </is>
      </c>
      <c r="E22" s="9" t="inlineStr">
        <is>
          <t>#1 organic for 'fried chicken muscat' and 'best fried chicken in oman' (live check)</t>
        </is>
      </c>
      <c r="F22" s="9" t="inlineStr">
        <is>
          <t>Yes</t>
        </is>
      </c>
    </row>
    <row r="23">
      <c r="A23" s="9" t="inlineStr">
        <is>
          <t>Qatar</t>
        </is>
      </c>
      <c r="B23" s="9" t="inlineStr">
        <is>
          <t>Raising Cane's (found)</t>
        </is>
      </c>
      <c r="C23" s="9" t="inlineStr">
        <is>
          <t>—</t>
        </is>
      </c>
      <c r="D23" s="9" t="inlineStr">
        <is>
          <t>—</t>
        </is>
      </c>
      <c r="E23" s="9" t="inlineStr">
        <is>
          <t>Owns the Maps pack for 'fried chicken near me', 'best fried chicken in qatar', 'chicken restaurant doha'</t>
        </is>
      </c>
      <c r="F23" s="9" t="inlineStr">
        <is>
          <t>Maps</t>
        </is>
      </c>
    </row>
    <row r="24">
      <c r="A24" s="9" t="inlineStr">
        <is>
          <t>Qatar</t>
        </is>
      </c>
      <c r="B24" s="9" t="inlineStr">
        <is>
          <t>Texas Chicken Qatar (found)</t>
        </is>
      </c>
      <c r="C24" s="9" t="inlineStr">
        <is>
          <t>qatar.texaschicken.com</t>
        </is>
      </c>
      <c r="D24" s="9" t="inlineStr">
        <is>
          <t>—</t>
        </is>
      </c>
      <c r="E24" s="9" t="inlineStr">
        <is>
          <t>#2 'best fried chicken in qatar'</t>
        </is>
      </c>
      <c r="F24" s="9" t="inlineStr">
        <is>
          <t>Yes</t>
        </is>
      </c>
    </row>
    <row r="25">
      <c r="A25" s="9" t="inlineStr">
        <is>
          <t>Qatar</t>
        </is>
      </c>
      <c r="B25" s="9" t="inlineStr">
        <is>
          <t>Go Crispy (found)</t>
        </is>
      </c>
      <c r="C25" s="9" t="inlineStr">
        <is>
          <t>gocrispy.com</t>
        </is>
      </c>
      <c r="D25" s="9" t="inlineStr">
        <is>
          <t>—</t>
        </is>
      </c>
      <c r="E25" s="9" t="inlineStr">
        <is>
          <t>Maps pack 'fried chicken doha'</t>
        </is>
      </c>
      <c r="F25" s="9" t="inlineStr">
        <is>
          <t>Yes</t>
        </is>
      </c>
    </row>
    <row r="26">
      <c r="A26" s="9" t="inlineStr">
        <is>
          <t>Qatar</t>
        </is>
      </c>
      <c r="B26" s="9" t="inlineStr">
        <is>
          <t>Hot Chicken (found)</t>
        </is>
      </c>
      <c r="C26" s="9" t="inlineStr">
        <is>
          <t>hotchicken.qa</t>
        </is>
      </c>
      <c r="D26" s="9" t="inlineStr">
        <is>
          <t>—</t>
        </is>
      </c>
      <c r="E26" s="9" t="inlineStr">
        <is>
          <t>Owns 'hot chicken' (brand)</t>
        </is>
      </c>
      <c r="F26" s="9" t="inlineStr">
        <is>
          <t>Yes</t>
        </is>
      </c>
    </row>
    <row r="27">
      <c r="A27" s="9" t="inlineStr">
        <is>
          <t>Qatar</t>
        </is>
      </c>
      <c r="B27" s="9" t="inlineStr">
        <is>
          <t>Sultan Fried Chicken, Birdy's, Qokio, Drumsticks (found)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Facebook / TripAdvisor / Snoonu</t>
        </is>
      </c>
      <c r="F27" s="9" t="inlineStr">
        <is>
          <t>No</t>
        </is>
      </c>
    </row>
    <row r="28">
      <c r="A28" s="9" t="inlineStr">
        <is>
          <t>Qatar</t>
        </is>
      </c>
      <c r="B28" s="9" t="inlineStr">
        <is>
          <t>Bonbird</t>
        </is>
      </c>
      <c r="C28" s="9" t="inlineStr">
        <is>
          <t>bonbirdchicken.com</t>
        </is>
      </c>
      <c r="D28" s="9" t="inlineStr">
        <is>
          <t>—</t>
        </is>
      </c>
      <c r="E28" s="9" t="inlineStr">
        <is>
          <t>#2 'fried chicken doha', #6 'best fried chicken in qatar' (live check)</t>
        </is>
      </c>
      <c r="F28" s="9" t="inlineStr">
        <is>
          <t>Yes</t>
        </is>
      </c>
    </row>
    <row r="30">
      <c r="A30" s="2" t="inlineStr">
        <is>
          <t>Oman and Qatar keyword counts are '—' because DataForSEO's ranked-keyword database does not cover those countries; competitors there were found from live Google results.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80" customWidth="1" min="4" max="4"/>
  </cols>
  <sheetData>
    <row r="1">
      <c r="A1" s="3" t="inlineStr">
        <is>
          <t>Market</t>
        </is>
      </c>
      <c r="B1" s="3" t="inlineStr">
        <is>
          <t>Keyword(s)</t>
        </is>
      </c>
      <c r="C1" s="3" t="inlineStr">
        <is>
          <t>Searches / mo</t>
        </is>
      </c>
      <c r="D1" s="3" t="inlineStr">
        <is>
          <t>Why we are not targeting it</t>
        </is>
      </c>
    </row>
    <row r="2">
      <c r="A2" s="9" t="inlineStr">
        <is>
          <t>UAE</t>
        </is>
      </c>
      <c r="B2" s="9" t="inlineStr">
        <is>
          <t>crispy chicken</t>
        </is>
      </c>
      <c r="C2" s="10" t="n">
        <v>33100</v>
      </c>
      <c r="D2" s="9" t="inlineStr">
        <is>
          <t>Rival brand: 'Crispy Chicken UAE' (crispychicken-uae.com) ranks #1 with its Facebook, Zomato, 2GIS pages — people are looking for that restaurant</t>
        </is>
      </c>
    </row>
    <row r="3">
      <c r="A3" s="9" t="inlineStr">
        <is>
          <t>UAE / Oman / Qatar</t>
        </is>
      </c>
      <c r="B3" s="9" t="inlineStr">
        <is>
          <t>broasted chicken, بروستد, broasted chicken near me</t>
        </is>
      </c>
      <c r="C3" s="10" t="n">
        <v>3600</v>
      </c>
      <c r="D3" s="9" t="inlineStr">
        <is>
          <t>Not on the menu (Bonbird sells fried, not broasted)</t>
        </is>
      </c>
    </row>
    <row r="4">
      <c r="A4" s="9" t="inlineStr">
        <is>
          <t>UAE</t>
        </is>
      </c>
      <c r="B4" s="9" t="inlineStr">
        <is>
          <t>chicken wings / chicken nuggets</t>
        </is>
      </c>
      <c r="C4" s="10" t="n">
        <v>2900</v>
      </c>
      <c r="D4" s="9" t="inlineStr">
        <is>
          <t>Not on the menu</t>
        </is>
      </c>
    </row>
    <row r="5">
      <c r="A5" s="9" t="inlineStr">
        <is>
          <t>Qatar</t>
        </is>
      </c>
      <c r="B5" s="9" t="inlineStr">
        <is>
          <t>hot chicken / hot chicken doha</t>
        </is>
      </c>
      <c r="C5" s="10" t="n">
        <v>1600</v>
      </c>
      <c r="D5" s="9" t="inlineStr">
        <is>
          <t>Rival brand 'Hot Chicken' (hotchicken.qa) dominates</t>
        </is>
      </c>
    </row>
    <row r="6">
      <c r="A6" s="9" t="inlineStr">
        <is>
          <t>Oman</t>
        </is>
      </c>
      <c r="B6" s="9" t="inlineStr">
        <is>
          <t>hot chicken</t>
        </is>
      </c>
      <c r="C6" s="10" t="n">
        <v>880</v>
      </c>
      <c r="D6" s="9" t="inlineStr">
        <is>
          <t>Rival brand 'Hot Chicken' (@hotchicken.om) dominates</t>
        </is>
      </c>
    </row>
    <row r="7">
      <c r="A7" s="9" t="inlineStr">
        <is>
          <t>Qatar</t>
        </is>
      </c>
      <c r="B7" s="9" t="inlineStr">
        <is>
          <t>restaurants in doha / best restaurants in doha</t>
        </is>
      </c>
      <c r="C7" s="10" t="n">
        <v>8100</v>
      </c>
      <c r="D7" s="9" t="inlineStr">
        <is>
          <t>Travel and luxury guides (OpenTable, Raffles, Condé Nast) — not winnable for a fried chicken venue</t>
        </is>
      </c>
    </row>
    <row r="8">
      <c r="A8" s="9" t="inlineStr">
        <is>
          <t>Oman</t>
        </is>
      </c>
      <c r="B8" s="9" t="inlineStr">
        <is>
          <t>restaurants in muscat / best restaurants in muscat</t>
        </is>
      </c>
      <c r="C8" s="10" t="n">
        <v>4400</v>
      </c>
      <c r="D8" s="9" t="inlineStr">
        <is>
          <t>Travel guides (Independent, Time Out, Klook)</t>
        </is>
      </c>
    </row>
    <row r="9">
      <c r="A9" s="9" t="inlineStr">
        <is>
          <t>Oman</t>
        </is>
      </c>
      <c r="B9" s="9" t="inlineStr">
        <is>
          <t>mall of oman restaurants</t>
        </is>
      </c>
      <c r="C9" s="10" t="n">
        <v>880</v>
      </c>
      <c r="D9" s="9" t="inlineStr">
        <is>
          <t>No Bonbird venue at Mall of Oman; mall's own site ranks</t>
        </is>
      </c>
    </row>
    <row r="10">
      <c r="A10" s="9" t="inlineStr">
        <is>
          <t>Oman</t>
        </is>
      </c>
      <c r="B10" s="9" t="inlineStr">
        <is>
          <t>souq al madina</t>
        </is>
      </c>
      <c r="C10" s="10" t="n">
        <v>9900</v>
      </c>
      <c r="D10" s="9" t="inlineStr">
        <is>
          <t>Navigational — people looking for the mall itself</t>
        </is>
      </c>
    </row>
    <row r="11">
      <c r="A11" s="9" t="inlineStr">
        <is>
          <t>Pakistan</t>
        </is>
      </c>
      <c r="B11" s="9" t="inlineStr">
        <is>
          <t>cue cinema lahore</t>
        </is>
      </c>
      <c r="C11" s="10" t="n">
        <v>8100</v>
      </c>
      <c r="D11" s="9" t="inlineStr">
        <is>
          <t>Navigational — people looking for the cinema; use as landmark in the Gulberg title only</t>
        </is>
      </c>
    </row>
    <row r="12">
      <c r="A12" s="9" t="inlineStr">
        <is>
          <t>Pakistan</t>
        </is>
      </c>
      <c r="B12" s="9" t="inlineStr">
        <is>
          <t>packages mall food court / emporium mall food court</t>
        </is>
      </c>
      <c r="C12" s="10" t="n">
        <v>720</v>
      </c>
      <c r="D12" s="9" t="inlineStr">
        <is>
          <t>No Bonbird venue there</t>
        </is>
      </c>
    </row>
    <row r="13">
      <c r="A13" s="9" t="inlineStr">
        <is>
          <t>UAE</t>
        </is>
      </c>
      <c r="B13" s="9" t="inlineStr">
        <is>
          <t>ibn battuta mall food court / al hamra mall restaurants</t>
        </is>
      </c>
      <c r="C13" s="10" t="n">
        <v>880</v>
      </c>
      <c r="D13" s="9" t="inlineStr">
        <is>
          <t>KFC ranks via store pages; no Bonbird venue there</t>
        </is>
      </c>
    </row>
    <row r="14">
      <c r="A14" s="9" t="inlineStr">
        <is>
          <t>UAE</t>
        </is>
      </c>
      <c r="B14" s="9" t="inlineStr">
        <is>
          <t>drive thru near me (+ variants)</t>
        </is>
      </c>
      <c r="C14" s="10" t="n">
        <v>8100</v>
      </c>
      <c r="D14" s="9" t="inlineStr">
        <is>
          <t>KFC's territory; only relevant if Bonbird venues have a drive-thru</t>
        </is>
      </c>
    </row>
    <row r="15">
      <c r="A15" s="9" t="inlineStr">
        <is>
          <t>All</t>
        </is>
      </c>
      <c r="B15" s="9" t="inlineStr">
        <is>
          <t>Competitor brand searches (KFC, Popeyes, Jollibee, Texas, Dave's, Kababjees…)</t>
        </is>
      </c>
      <c r="C15" s="10" t="inlineStr">
        <is>
          <t>—</t>
        </is>
      </c>
      <c r="D15" s="9" t="inlineStr">
        <is>
          <t>Navigational — 753 of 1,114 UAE competitor keywords were brand searches</t>
        </is>
      </c>
    </row>
    <row r="16">
      <c r="A16" s="9" t="inlineStr">
        <is>
          <t>All</t>
        </is>
      </c>
      <c r="B16" s="9" t="inlineStr">
        <is>
          <t>Recipe searches (recipe, how to, calories…)</t>
        </is>
      </c>
      <c r="C16" s="10" t="inlineStr">
        <is>
          <t>—</t>
        </is>
      </c>
      <c r="D16" s="9" t="inlineStr">
        <is>
          <t>Cooks, not customers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Method</t>
        </is>
      </c>
    </row>
    <row r="2">
      <c r="A2" s="8" t="inlineStr">
        <is>
          <t>1. Business: menu (fried chicken, Nashville hot style, 6 flavours: Plain, Medium, XXX Hot, Lemon Pepper, Chicken Salt, Jalapeño; no wings, nuggets or broasted), 12 venues in 4 markets.</t>
        </is>
      </c>
    </row>
    <row r="3">
      <c r="A3" s="8" t="inlineStr">
        <is>
          <t>2. Competitors: from Shazin (UAE, Pakistan) and live Google results (Oman, Qatar). Official domains confirmed by searching each brand name in its market.</t>
        </is>
      </c>
    </row>
    <row r="4">
      <c r="A4" s="8" t="inlineStr">
        <is>
          <t>3. Competitor keywords: DataForSEO Labs ranked_keywords for each competitor website (UAE, Pakistan). 1,114 UAE and 1,286 Pakistan keywords pulled, then cleaned: brand searches, recipes, off-menu items and other restaurants' names removed.</t>
        </is>
      </c>
    </row>
    <row r="5">
      <c r="A5" s="8" t="inlineStr">
        <is>
          <t>4. Volumes: Google Ads search volume via DataForSEO (monthly, country level). Where Google Ads reports no volume, Search Console impressions over 90 days are shown and labelled.</t>
        </is>
      </c>
    </row>
    <row r="6">
      <c r="A6" s="8" t="inlineStr">
        <is>
          <t>5. Winnability: live Google page one (mobile, country level) for the biggest clusters via DataForSEO standard SERP queue.</t>
        </is>
      </c>
    </row>
    <row r="7">
      <c r="A7" s="8" t="inlineStr">
        <is>
          <t>6. Bonbird positions: 'snapshot' = DataForSEO Labs position at its sampled location; 'GSC avg' = Search Console average position (all users, 90 days); 'live' = the page-one check above.</t>
        </is>
      </c>
    </row>
    <row r="8">
      <c r="A8" s="11" t="inlineStr">
        <is>
          <t>Limitations</t>
        </is>
      </c>
    </row>
    <row r="9">
      <c r="A9" s="8" t="inlineStr">
        <is>
          <t>• Keyword difficulty (KD) is mostly unavailable for these markets — DataForSEO returns 0 or nothing for UAE/PK/OM/QA local terms. Winnability was judged from page one instead.</t>
        </is>
      </c>
    </row>
    <row r="10">
      <c r="A10" s="8" t="inlineStr">
        <is>
          <t>• DataForSEO's ranked-keyword database does not cover Oman or Qatar; those lists come from Google Ads volumes + Search Console + live results.</t>
        </is>
      </c>
    </row>
    <row r="11">
      <c r="A11" s="8" t="inlineStr">
        <is>
          <t>• Google Ads rounds and groups close variants (e.g. 'best fried chicken dubai' and '… in dubai' share 590).</t>
        </is>
      </c>
    </row>
    <row r="12">
      <c r="A12" s="8" t="inlineStr">
        <is>
          <t>• Page-one checks were country level; a phone in a specific city can see a different Maps pack.</t>
        </is>
      </c>
    </row>
    <row r="13">
      <c r="A13" s="8" t="inlineStr">
        <is>
          <t>• Keywords marked 'Not page-checked' should get a page-one check before major investment.</t>
        </is>
      </c>
    </row>
    <row r="14">
      <c r="A14" s="11" t="inlineStr">
        <is>
          <t>Sources</t>
        </is>
      </c>
    </row>
    <row r="15">
      <c r="A15" s="8" t="inlineStr">
        <is>
          <t>DataForSEO Labs ranked_keywords/live, keyword search volume (Google Ads), SERP organic task_post/task_get (advanced) — via the Nest /api/keyword-metrics (v7.9.123–127). Google Search Console via /api/market-traffic (queries mode), 8 Jul – 6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2026-10-09T13:23:07Z</dcterms:created>
  <dcterms:modified xsi:type="dcterms:W3CDTF">2026-10-09T13:23:07Z</dcterms:modified>
</cp:coreProperties>
</file>